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c388572eedc0e4f/קבצי אקסל למכירה/דשבורד סטודנטים/"/>
    </mc:Choice>
  </mc:AlternateContent>
  <xr:revisionPtr revIDLastSave="43" documentId="13_ncr:1_{7FD28EAA-DFEF-44C7-8AA2-9458DB9A8636}" xr6:coauthVersionLast="47" xr6:coauthVersionMax="47" xr10:uidLastSave="{7B0F2990-5F59-4201-ACD9-92A4F005632C}"/>
  <bookViews>
    <workbookView xWindow="-110" yWindow="-110" windowWidth="19420" windowHeight="10300" activeTab="3" xr2:uid="{00000000-000D-0000-FFFF-FFFF00000000}"/>
  </bookViews>
  <sheets>
    <sheet name="הגדרות_משתמש" sheetId="3" r:id="rId1"/>
    <sheet name="דשבורד" sheetId="4" r:id="rId2"/>
    <sheet name="מעקב_מטלות" sheetId="1" r:id="rId3"/>
    <sheet name="מיילים_טלפונים _חשובים" sheetId="5" r:id="rId4"/>
    <sheet name="lists" sheetId="2" state="hidden" r:id="rId5"/>
  </sheets>
  <definedNames>
    <definedName name="סוג_המטלה">lists!$A$2:$A$6</definedName>
    <definedName name="סטטוס">lists!$B$2:$B$5</definedName>
    <definedName name="עדיפות">lists!$C$2:$C$5</definedName>
    <definedName name="שם_הקורס">הגדרות_משתמש!$B$3:$B$15</definedName>
    <definedName name="שנת_לימודים">lists!$D$2:$D$7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L2" i="1" s="1"/>
  <c r="E3" i="1"/>
  <c r="L3" i="1" s="1"/>
  <c r="E4" i="1"/>
  <c r="L4" i="1" s="1"/>
  <c r="E5" i="1"/>
  <c r="L5" i="1" s="1"/>
  <c r="E6" i="1"/>
  <c r="L6" i="1" s="1"/>
  <c r="E7" i="1"/>
  <c r="L7" i="1" s="1"/>
  <c r="E8" i="1"/>
  <c r="L8" i="1" s="1"/>
  <c r="C14" i="4"/>
  <c r="J3" i="1"/>
  <c r="J4" i="1"/>
  <c r="B28" i="4"/>
  <c r="A30" i="4" s="1"/>
  <c r="B30" i="4" s="1"/>
  <c r="C30" i="4" s="1"/>
  <c r="E9" i="1"/>
  <c r="L9" i="1" s="1"/>
  <c r="E10" i="1"/>
  <c r="L10" i="1" s="1"/>
  <c r="E11" i="1"/>
  <c r="L11" i="1" s="1"/>
  <c r="E12" i="1"/>
  <c r="E13" i="1"/>
  <c r="E14" i="1"/>
  <c r="L14" i="1" s="1"/>
  <c r="E15" i="1"/>
  <c r="E16" i="1"/>
  <c r="L16" i="1" s="1"/>
  <c r="E17" i="1"/>
  <c r="L17" i="1" s="1"/>
  <c r="E18" i="1"/>
  <c r="L18" i="1" s="1"/>
  <c r="E19" i="1"/>
  <c r="L19" i="1" s="1"/>
  <c r="E20" i="1"/>
  <c r="E21" i="1"/>
  <c r="L21" i="1" s="1"/>
  <c r="E22" i="1"/>
  <c r="L22" i="1" s="1"/>
  <c r="E23" i="1"/>
  <c r="E24" i="1"/>
  <c r="L24" i="1" s="1"/>
  <c r="E25" i="1"/>
  <c r="E26" i="1"/>
  <c r="L26" i="1" s="1"/>
  <c r="E27" i="1"/>
  <c r="L27" i="1" s="1"/>
  <c r="J2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E28" i="1"/>
  <c r="E29" i="1"/>
  <c r="E30" i="1"/>
  <c r="L30" i="1" s="1"/>
  <c r="E31" i="1"/>
  <c r="E32" i="1"/>
  <c r="L32" i="1" s="1"/>
  <c r="E33" i="1"/>
  <c r="L33" i="1" s="1"/>
  <c r="E34" i="1"/>
  <c r="L34" i="1" s="1"/>
  <c r="E35" i="1"/>
  <c r="L35" i="1" s="1"/>
  <c r="E36" i="1"/>
  <c r="E37" i="1"/>
  <c r="E38" i="1"/>
  <c r="L38" i="1" s="1"/>
  <c r="E39" i="1"/>
  <c r="E40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E53" i="1"/>
  <c r="L53" i="1" s="1"/>
  <c r="J53" i="1"/>
  <c r="C21" i="4"/>
  <c r="D21" i="4"/>
  <c r="E21" i="4"/>
  <c r="F21" i="4"/>
  <c r="G21" i="4"/>
  <c r="G22" i="4" s="1"/>
  <c r="H21" i="4"/>
  <c r="H22" i="4" s="1"/>
  <c r="I21" i="4"/>
  <c r="I22" i="4" s="1"/>
  <c r="J21" i="4"/>
  <c r="J22" i="4" s="1"/>
  <c r="K21" i="4"/>
  <c r="K22" i="4" s="1"/>
  <c r="L21" i="4"/>
  <c r="L22" i="4" s="1"/>
  <c r="M21" i="4"/>
  <c r="M22" i="4" s="1"/>
  <c r="N21" i="4"/>
  <c r="N22" i="4" s="1"/>
  <c r="B21" i="4"/>
  <c r="E46" i="1"/>
  <c r="K46" i="1" s="1"/>
  <c r="E47" i="1"/>
  <c r="K47" i="1" s="1"/>
  <c r="E48" i="1"/>
  <c r="K48" i="1" s="1"/>
  <c r="E49" i="1"/>
  <c r="E50" i="1"/>
  <c r="L50" i="1" s="1"/>
  <c r="E51" i="1"/>
  <c r="L51" i="1" s="1"/>
  <c r="E52" i="1"/>
  <c r="E41" i="1"/>
  <c r="K41" i="1" s="1"/>
  <c r="E42" i="1"/>
  <c r="K42" i="1" s="1"/>
  <c r="E43" i="1"/>
  <c r="K43" i="1" s="1"/>
  <c r="E44" i="1"/>
  <c r="K44" i="1" s="1"/>
  <c r="E45" i="1"/>
  <c r="L45" i="1" s="1"/>
  <c r="J42" i="1"/>
  <c r="J43" i="1"/>
  <c r="J44" i="1"/>
  <c r="J45" i="1"/>
  <c r="J46" i="1"/>
  <c r="J47" i="1"/>
  <c r="J48" i="1"/>
  <c r="J49" i="1"/>
  <c r="J50" i="1"/>
  <c r="J51" i="1"/>
  <c r="J52" i="1"/>
  <c r="J41" i="1"/>
  <c r="D22" i="4" l="1"/>
  <c r="F22" i="4"/>
  <c r="C22" i="4"/>
  <c r="L42" i="1"/>
  <c r="L41" i="1"/>
  <c r="L25" i="1"/>
  <c r="M25" i="1" s="1"/>
  <c r="L48" i="1"/>
  <c r="M48" i="1" s="1"/>
  <c r="L40" i="1"/>
  <c r="M40" i="1" s="1"/>
  <c r="M32" i="1"/>
  <c r="L47" i="1"/>
  <c r="L39" i="1"/>
  <c r="M39" i="1" s="1"/>
  <c r="L31" i="1"/>
  <c r="M31" i="1" s="1"/>
  <c r="L23" i="1"/>
  <c r="M23" i="1" s="1"/>
  <c r="L15" i="1"/>
  <c r="M15" i="1" s="1"/>
  <c r="L46" i="1"/>
  <c r="M9" i="1"/>
  <c r="M24" i="1"/>
  <c r="M30" i="1"/>
  <c r="M14" i="1"/>
  <c r="L37" i="1"/>
  <c r="M37" i="1" s="1"/>
  <c r="L29" i="1"/>
  <c r="M29" i="1" s="1"/>
  <c r="L13" i="1"/>
  <c r="M13" i="1" s="1"/>
  <c r="M33" i="1"/>
  <c r="M16" i="1"/>
  <c r="L49" i="1"/>
  <c r="M49" i="1" s="1"/>
  <c r="M38" i="1"/>
  <c r="M22" i="1"/>
  <c r="M21" i="1"/>
  <c r="M35" i="1"/>
  <c r="M27" i="1"/>
  <c r="M19" i="1"/>
  <c r="L52" i="1"/>
  <c r="M52" i="1" s="1"/>
  <c r="L44" i="1"/>
  <c r="L36" i="1"/>
  <c r="M36" i="1" s="1"/>
  <c r="L28" i="1"/>
  <c r="M28" i="1" s="1"/>
  <c r="L20" i="1"/>
  <c r="M20" i="1" s="1"/>
  <c r="L12" i="1"/>
  <c r="M50" i="1"/>
  <c r="M17" i="1"/>
  <c r="M34" i="1"/>
  <c r="M26" i="1"/>
  <c r="M18" i="1"/>
  <c r="L43" i="1"/>
  <c r="E22" i="4"/>
  <c r="C13" i="4"/>
  <c r="C15" i="4" s="1"/>
  <c r="B22" i="4"/>
  <c r="P3" i="1"/>
  <c r="M51" i="1"/>
  <c r="K52" i="1"/>
  <c r="K51" i="1"/>
  <c r="K50" i="1"/>
  <c r="K49" i="1"/>
  <c r="K45" i="1"/>
  <c r="M11" i="1" l="1"/>
  <c r="M12" i="1"/>
  <c r="M10" i="1"/>
  <c r="M8" i="1"/>
  <c r="M6" i="1"/>
  <c r="M7" i="1"/>
  <c r="M2" i="1"/>
  <c r="M3" i="1"/>
  <c r="M4" i="1"/>
  <c r="M5" i="1"/>
  <c r="M53" i="1"/>
  <c r="M47" i="1"/>
  <c r="M46" i="1"/>
  <c r="M45" i="1"/>
  <c r="M41" i="1"/>
  <c r="M43" i="1"/>
  <c r="M44" i="1"/>
  <c r="M42" i="1"/>
  <c r="B5" i="4" l="1"/>
  <c r="B6" i="4"/>
  <c r="D4" i="4"/>
  <c r="E4" i="4"/>
  <c r="C4" i="4"/>
  <c r="C6" i="4"/>
  <c r="E5" i="4"/>
  <c r="C5" i="4"/>
  <c r="E6" i="4"/>
  <c r="D5" i="4"/>
  <c r="D6" i="4"/>
  <c r="B4" i="4"/>
  <c r="D30" i="4" l="1"/>
  <c r="E30" i="4" s="1"/>
  <c r="F30" i="4" s="1"/>
  <c r="G30" i="4" s="1"/>
  <c r="A31" i="4" l="1"/>
  <c r="B31" i="4" s="1"/>
  <c r="C31" i="4" s="1"/>
  <c r="D31" i="4" s="1"/>
  <c r="E31" i="4" s="1"/>
  <c r="F31" i="4" s="1"/>
  <c r="G31" i="4" s="1"/>
  <c r="A32" i="4" s="1"/>
  <c r="B32" i="4" s="1"/>
  <c r="C32" i="4" s="1"/>
  <c r="D32" i="4" s="1"/>
  <c r="E32" i="4" s="1"/>
  <c r="F32" i="4" s="1"/>
  <c r="G32" i="4" s="1"/>
  <c r="A33" i="4" s="1"/>
  <c r="B33" i="4" s="1"/>
  <c r="C33" i="4" s="1"/>
  <c r="D33" i="4" s="1"/>
  <c r="E33" i="4" s="1"/>
  <c r="F33" i="4" s="1"/>
  <c r="G33" i="4" s="1"/>
  <c r="A34" i="4" s="1"/>
  <c r="B34" i="4" s="1"/>
  <c r="C34" i="4" s="1"/>
  <c r="D34" i="4" s="1"/>
  <c r="E34" i="4" s="1"/>
  <c r="F34" i="4" s="1"/>
  <c r="G34" i="4" s="1"/>
  <c r="A35" i="4" s="1"/>
  <c r="B35" i="4" s="1"/>
  <c r="C35" i="4" s="1"/>
  <c r="D35" i="4" s="1"/>
  <c r="E35" i="4" s="1"/>
  <c r="F35" i="4" s="1"/>
  <c r="G35" i="4" s="1"/>
</calcChain>
</file>

<file path=xl/sharedStrings.xml><?xml version="1.0" encoding="utf-8"?>
<sst xmlns="http://schemas.openxmlformats.org/spreadsheetml/2006/main" count="68" uniqueCount="57">
  <si>
    <t>שם הקורס</t>
  </si>
  <si>
    <t>שם המטלה</t>
  </si>
  <si>
    <t>סוג המטלה</t>
  </si>
  <si>
    <t>ימים שנותרו</t>
  </si>
  <si>
    <t>סטטוס</t>
  </si>
  <si>
    <t>עדיפות</t>
  </si>
  <si>
    <t>ציון</t>
  </si>
  <si>
    <t>הערות</t>
  </si>
  <si>
    <t>משקל בציון (%)</t>
  </si>
  <si>
    <t>סוג_המטלה</t>
  </si>
  <si>
    <t>תרגיל</t>
  </si>
  <si>
    <t>מבחן</t>
  </si>
  <si>
    <t>עבודה</t>
  </si>
  <si>
    <t>פרויקט</t>
  </si>
  <si>
    <t>לא התחלתי</t>
  </si>
  <si>
    <t>בעבודה</t>
  </si>
  <si>
    <t>הוגש</t>
  </si>
  <si>
    <t>נמוכה</t>
  </si>
  <si>
    <t>בינונית</t>
  </si>
  <si>
    <t>גבוהה</t>
  </si>
  <si>
    <t>-</t>
  </si>
  <si>
    <t xml:space="preserve">הכנס סוג </t>
  </si>
  <si>
    <t>קבע סטטוס</t>
  </si>
  <si>
    <t>אנא הזן את שמות הקורסים</t>
  </si>
  <si>
    <t>שם_הקורס</t>
  </si>
  <si>
    <t>ציון לפי אחוז</t>
  </si>
  <si>
    <t>ממוצע משוקלל</t>
  </si>
  <si>
    <t>שלושת המטלות הקרובות להגשה</t>
  </si>
  <si>
    <t>שם מטלה</t>
  </si>
  <si>
    <t>דירוג דחיפות</t>
  </si>
  <si>
    <t>תאריך_הגשה</t>
  </si>
  <si>
    <t>עמודת עזר לדירוג</t>
  </si>
  <si>
    <t>שם מרצה</t>
  </si>
  <si>
    <t>אימייל</t>
  </si>
  <si>
    <t>חישוב ממוצע משוקלל</t>
  </si>
  <si>
    <t>ממוצע</t>
  </si>
  <si>
    <t>טלפון</t>
  </si>
  <si>
    <t>נכשל</t>
  </si>
  <si>
    <t>טוב</t>
  </si>
  <si>
    <t>מצויין</t>
  </si>
  <si>
    <t>ראשון</t>
  </si>
  <si>
    <t>שני</t>
  </si>
  <si>
    <t>שלישי</t>
  </si>
  <si>
    <t>רביעי</t>
  </si>
  <si>
    <t>חמישי</t>
  </si>
  <si>
    <t>שישי</t>
  </si>
  <si>
    <t>שבת</t>
  </si>
  <si>
    <t>בחר חודש מתוך הרשימה:</t>
  </si>
  <si>
    <t>בחר שנת לימודים</t>
  </si>
  <si>
    <t>שנת_לימודים</t>
  </si>
  <si>
    <t>בחירת הקורס</t>
  </si>
  <si>
    <t>ציון סופי רצוי</t>
  </si>
  <si>
    <t>ציון משוקלל</t>
  </si>
  <si>
    <t>מחשבון</t>
  </si>
  <si>
    <t>אחוז שנותר</t>
  </si>
  <si>
    <t>ציון שיש לקבל במבחן</t>
  </si>
  <si>
    <r>
      <t xml:space="preserve">כל הזכויות שמורות. קובץ זה מיועד לשימוש אישי של הרוכש בלבד ואין להעתיקו או להפיצו. </t>
    </r>
    <r>
      <rPr>
        <b/>
        <sz val="11"/>
        <color theme="1"/>
        <rFont val="Arial"/>
        <family val="2"/>
      </rPr>
      <t xml:space="preserve">©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</si>
</sst>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"/>
    <numFmt numFmtId="165" formatCode="0.0"/>
  </numFmts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C00000"/>
      <name val="Arial"/>
      <family val="2"/>
      <scheme val="minor"/>
    </font>
    <font>
      <sz val="11"/>
      <color theme="7" tint="-0.249977111117893"/>
      <name val="Arial"/>
      <family val="2"/>
      <scheme val="minor"/>
    </font>
    <font>
      <sz val="11"/>
      <color theme="9" tint="-0.249977111117893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D6F2"/>
        <bgColor indexed="64"/>
      </patternFill>
    </fill>
    <fill>
      <patternFill patternType="solid">
        <fgColor rgb="FFFFFF97"/>
        <bgColor indexed="64"/>
      </patternFill>
    </fill>
    <fill>
      <patternFill patternType="solid">
        <fgColor rgb="FFD2E6C4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EFEDD9"/>
        <bgColor indexed="64"/>
      </patternFill>
    </fill>
    <fill>
      <patternFill patternType="solid">
        <fgColor rgb="FFFDA1A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AFBD9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 diagonalUp="1">
      <left style="thick">
        <color indexed="64"/>
      </left>
      <right/>
      <top/>
      <bottom/>
      <diagonal style="thick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9" fontId="0" fillId="0" borderId="0" xfId="1" applyFon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4" borderId="7" xfId="0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21" xfId="0" applyBorder="1" applyAlignment="1" applyProtection="1">
      <alignment horizontal="center" vertical="center" wrapText="1"/>
      <protection hidden="1"/>
    </xf>
    <xf numFmtId="0" fontId="4" fillId="8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2" fillId="11" borderId="24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0" fillId="0" borderId="1" xfId="0" applyBorder="1"/>
    <xf numFmtId="0" fontId="0" fillId="7" borderId="1" xfId="0" applyFill="1" applyBorder="1" applyAlignment="1" applyProtection="1">
      <alignment horizontal="center" vertical="center"/>
      <protection locked="0"/>
    </xf>
    <xf numFmtId="0" fontId="0" fillId="5" borderId="5" xfId="0" applyFill="1" applyBorder="1" applyAlignment="1" applyProtection="1">
      <alignment horizontal="center" vertical="center"/>
      <protection hidden="1"/>
    </xf>
    <xf numFmtId="0" fontId="2" fillId="7" borderId="1" xfId="0" applyFont="1" applyFill="1" applyBorder="1" applyAlignment="1" applyProtection="1">
      <alignment horizontal="center" vertical="center" wrapText="1"/>
      <protection hidden="1"/>
    </xf>
    <xf numFmtId="0" fontId="2" fillId="7" borderId="14" xfId="0" applyFont="1" applyFill="1" applyBorder="1" applyAlignment="1" applyProtection="1">
      <alignment horizontal="center" vertical="center" wrapText="1"/>
      <protection hidden="1"/>
    </xf>
    <xf numFmtId="0" fontId="0" fillId="7" borderId="16" xfId="0" applyFill="1" applyBorder="1" applyAlignment="1" applyProtection="1">
      <alignment horizontal="center" vertical="center"/>
      <protection hidden="1"/>
    </xf>
    <xf numFmtId="164" fontId="0" fillId="11" borderId="13" xfId="0" applyNumberFormat="1" applyFill="1" applyBorder="1" applyAlignment="1" applyProtection="1">
      <alignment horizontal="right" vertical="center"/>
      <protection hidden="1"/>
    </xf>
    <xf numFmtId="164" fontId="0" fillId="11" borderId="1" xfId="0" applyNumberFormat="1" applyFill="1" applyBorder="1" applyAlignment="1" applyProtection="1">
      <alignment horizontal="right" vertical="center"/>
      <protection hidden="1"/>
    </xf>
    <xf numFmtId="164" fontId="0" fillId="11" borderId="14" xfId="0" applyNumberFormat="1" applyFill="1" applyBorder="1" applyAlignment="1" applyProtection="1">
      <alignment horizontal="right" vertical="center"/>
      <protection hidden="1"/>
    </xf>
    <xf numFmtId="164" fontId="0" fillId="11" borderId="15" xfId="0" applyNumberFormat="1" applyFill="1" applyBorder="1" applyAlignment="1" applyProtection="1">
      <alignment horizontal="right" vertical="center"/>
      <protection hidden="1"/>
    </xf>
    <xf numFmtId="164" fontId="0" fillId="11" borderId="16" xfId="0" applyNumberFormat="1" applyFill="1" applyBorder="1" applyAlignment="1" applyProtection="1">
      <alignment horizontal="right" vertical="center"/>
      <protection hidden="1"/>
    </xf>
    <xf numFmtId="164" fontId="0" fillId="11" borderId="17" xfId="0" applyNumberFormat="1" applyFill="1" applyBorder="1" applyAlignment="1" applyProtection="1">
      <alignment horizontal="right" vertical="center"/>
      <protection hidden="1"/>
    </xf>
    <xf numFmtId="0" fontId="2" fillId="11" borderId="28" xfId="0" applyFont="1" applyFill="1" applyBorder="1" applyAlignment="1">
      <alignment horizontal="center" vertical="center"/>
    </xf>
    <xf numFmtId="0" fontId="2" fillId="11" borderId="31" xfId="0" applyFont="1" applyFill="1" applyBorder="1" applyAlignment="1">
      <alignment horizontal="center" vertical="center"/>
    </xf>
    <xf numFmtId="0" fontId="2" fillId="12" borderId="33" xfId="0" applyFont="1" applyFill="1" applyBorder="1" applyAlignment="1">
      <alignment horizontal="center" vertical="center" wrapText="1"/>
    </xf>
    <xf numFmtId="0" fontId="0" fillId="11" borderId="32" xfId="0" applyFill="1" applyBorder="1" applyAlignment="1" applyProtection="1">
      <alignment horizontal="center" vertical="center"/>
      <protection hidden="1"/>
    </xf>
    <xf numFmtId="165" fontId="7" fillId="12" borderId="34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wrapText="1"/>
      <protection locked="0" hidden="1"/>
    </xf>
    <xf numFmtId="0" fontId="0" fillId="0" borderId="0" xfId="0" applyAlignment="1" applyProtection="1">
      <alignment horizontal="center" vertical="center" wrapText="1"/>
      <protection locked="0"/>
    </xf>
    <xf numFmtId="0" fontId="0" fillId="11" borderId="1" xfId="0" applyFill="1" applyBorder="1" applyProtection="1">
      <protection locked="0"/>
    </xf>
    <xf numFmtId="0" fontId="0" fillId="0" borderId="35" xfId="0" applyBorder="1"/>
    <xf numFmtId="0" fontId="0" fillId="11" borderId="36" xfId="0" applyFill="1" applyBorder="1" applyProtection="1">
      <protection locked="0"/>
    </xf>
    <xf numFmtId="0" fontId="2" fillId="11" borderId="5" xfId="0" applyFont="1" applyFill="1" applyBorder="1" applyAlignment="1">
      <alignment horizontal="center"/>
    </xf>
    <xf numFmtId="0" fontId="0" fillId="11" borderId="27" xfId="0" applyFill="1" applyBorder="1" applyAlignment="1">
      <alignment horizontal="center" vertical="center" wrapText="1"/>
    </xf>
    <xf numFmtId="0" fontId="0" fillId="11" borderId="32" xfId="0" applyFill="1" applyBorder="1" applyAlignment="1" applyProtection="1">
      <alignment horizontal="center" vertical="center"/>
      <protection locked="0"/>
    </xf>
    <xf numFmtId="0" fontId="0" fillId="4" borderId="5" xfId="0" applyFill="1" applyBorder="1" applyAlignment="1">
      <alignment horizontal="center" vertical="center" wrapText="1" readingOrder="2"/>
    </xf>
    <xf numFmtId="0" fontId="8" fillId="4" borderId="8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29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9">
    <dxf>
      <font>
        <color theme="9" tint="-0.24994659260841701"/>
      </font>
      <fill>
        <patternFill>
          <bgColor theme="9" tint="0.39994506668294322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DA1A3"/>
        </patternFill>
      </fill>
    </dxf>
    <dxf>
      <fill>
        <patternFill>
          <bgColor theme="0" tint="-0.24994659260841701"/>
        </patternFill>
      </fill>
    </dxf>
    <dxf>
      <font>
        <color rgb="FFC00000"/>
      </font>
      <fill>
        <patternFill>
          <bgColor rgb="FFF87474"/>
        </patternFill>
      </fill>
    </dxf>
    <dxf>
      <numFmt numFmtId="0" formatCode="General"/>
      <alignment horizontal="center" vertical="center" textRotation="0" wrapText="0" indent="0" justifyLastLine="0" shrinkToFit="0" readingOrder="0"/>
      <protection hidden="1"/>
    </dxf>
    <dxf>
      <numFmt numFmtId="0" formatCode="General"/>
      <alignment horizontal="center" vertical="center" textRotation="0" wrapText="0" indent="0" justifyLastLine="0" shrinkToFit="0" readingOrder="0"/>
      <protection hidden="1"/>
    </dxf>
    <dxf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" formatCode="0"/>
      <alignment horizontal="center" vertical="center" textRotation="0" wrapText="0" indent="0" justifyLastLine="0" shrinkToFit="0" readingOrder="0"/>
      <protection locked="1" hidden="1"/>
    </dxf>
    <dxf>
      <numFmt numFmtId="19" formatCode="dd/mm/yy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1"/>
    </dxf>
    <dxf>
      <numFmt numFmtId="0" formatCode="General"/>
      <alignment horizontal="center" vertical="center" textRotation="0" wrapText="0" indent="0" justifyLastLine="0" shrinkToFit="0" readingOrder="0"/>
      <protection locked="1" hidden="1"/>
    </dxf>
    <dxf>
      <numFmt numFmtId="0" formatCode="General"/>
      <alignment horizontal="center" vertical="center" textRotation="0" wrapText="1" indent="0" justifyLastLine="0" shrinkToFit="0" readingOrder="0"/>
      <protection locked="1" hidden="1"/>
    </dxf>
    <dxf>
      <alignment horizontal="center" vertical="center" textRotation="0" wrapText="1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vertical style="thick">
          <color auto="1"/>
        </vertical>
        <horizontal style="thick">
          <color auto="1"/>
        </horizontal>
      </border>
    </dxf>
    <dxf>
      <font>
        <u val="none"/>
      </font>
      <fill>
        <patternFill>
          <bgColor rgb="FFFFC1C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</dxfs>
  <tableStyles count="1" defaultTableStyle="TableStyleMedium2" defaultPivotStyle="PivotStyleLight16">
    <tableStyle name="ניסיון" pivot="0" count="2" xr9:uid="{F42213A3-F500-4E16-9CF8-6FD9E4E353F7}">
      <tableStyleElement type="wholeTable" dxfId="28"/>
      <tableStyleElement type="firstColumnStripe" dxfId="27"/>
    </tableStyle>
  </tableStyles>
  <colors>
    <mruColors>
      <color rgb="FFFAFBD9"/>
      <color rgb="FFFFFF97"/>
      <color rgb="FFF77979"/>
      <color rgb="FFD2E6C4"/>
      <color rgb="FFF87474"/>
      <color rgb="FFFDA1A3"/>
      <color rgb="FFFF7171"/>
      <color rgb="FFEFEDD9"/>
      <color rgb="FFDCD6F2"/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</a:rPr>
              <a:t>ממוצע לפי מקצוע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דשבורד!$A$22</c:f>
              <c:strCache>
                <c:ptCount val="1"/>
                <c:pt idx="0">
                  <c:v>ממוצע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pattFill prst="narHorz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D6CF-4DD8-9808-137C80F10CE0}"/>
              </c:ext>
            </c:extLst>
          </c:dPt>
          <c:dPt>
            <c:idx val="1"/>
            <c:invertIfNegative val="0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D6CF-4DD8-9808-137C80F10CE0}"/>
              </c:ext>
            </c:extLst>
          </c:dPt>
          <c:dPt>
            <c:idx val="2"/>
            <c:invertIfNegative val="0"/>
            <c:bubble3D val="0"/>
            <c:spPr>
              <a:pattFill prst="narHorz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D6CF-4DD8-9808-137C80F10CE0}"/>
              </c:ext>
            </c:extLst>
          </c:dPt>
          <c:dPt>
            <c:idx val="3"/>
            <c:invertIfNegative val="0"/>
            <c:bubble3D val="0"/>
            <c:spPr>
              <a:pattFill prst="narHorz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D6CF-4DD8-9808-137C80F10CE0}"/>
              </c:ext>
            </c:extLst>
          </c:dPt>
          <c:dPt>
            <c:idx val="4"/>
            <c:invertIfNegative val="0"/>
            <c:bubble3D val="0"/>
            <c:spPr>
              <a:pattFill prst="narHorz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D6CF-4DD8-9808-137C80F10CE0}"/>
              </c:ext>
            </c:extLst>
          </c:dPt>
          <c:dPt>
            <c:idx val="5"/>
            <c:invertIfNegative val="0"/>
            <c:bubble3D val="0"/>
            <c:spPr>
              <a:pattFill prst="narHorz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D6CF-4DD8-9808-137C80F10CE0}"/>
              </c:ext>
            </c:extLst>
          </c:dPt>
          <c:dPt>
            <c:idx val="6"/>
            <c:invertIfNegative val="0"/>
            <c:bubble3D val="0"/>
            <c:spPr>
              <a:pattFill prst="narHorz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D6CF-4DD8-9808-137C80F10CE0}"/>
              </c:ext>
            </c:extLst>
          </c:dPt>
          <c:dPt>
            <c:idx val="7"/>
            <c:invertIfNegative val="0"/>
            <c:bubble3D val="0"/>
            <c:spPr>
              <a:pattFill prst="narHorz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D6CF-4DD8-9808-137C80F10CE0}"/>
              </c:ext>
            </c:extLst>
          </c:dPt>
          <c:dPt>
            <c:idx val="8"/>
            <c:invertIfNegative val="0"/>
            <c:bubble3D val="0"/>
            <c:spPr>
              <a:pattFill prst="narHorz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D6CF-4DD8-9808-137C80F10CE0}"/>
              </c:ext>
            </c:extLst>
          </c:dPt>
          <c:dPt>
            <c:idx val="9"/>
            <c:invertIfNegative val="0"/>
            <c:bubble3D val="0"/>
            <c:spPr>
              <a:pattFill prst="narHorz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D6CF-4DD8-9808-137C80F10CE0}"/>
              </c:ext>
            </c:extLst>
          </c:dPt>
          <c:dPt>
            <c:idx val="10"/>
            <c:invertIfNegative val="0"/>
            <c:bubble3D val="0"/>
            <c:spPr>
              <a:pattFill prst="narHorz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D6CF-4DD8-9808-137C80F10CE0}"/>
              </c:ext>
            </c:extLst>
          </c:dPt>
          <c:dPt>
            <c:idx val="11"/>
            <c:invertIfNegative val="0"/>
            <c:bubble3D val="0"/>
            <c:spPr>
              <a:pattFill prst="narHorz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D6CF-4DD8-9808-137C80F10CE0}"/>
              </c:ext>
            </c:extLst>
          </c:dPt>
          <c:dPt>
            <c:idx val="12"/>
            <c:invertIfNegative val="0"/>
            <c:bubble3D val="0"/>
            <c:spPr>
              <a:pattFill prst="narHorz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D6CF-4DD8-9808-137C80F10C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דשבורד!$B$21:$N$21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דשבורד!$B$22:$N$22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5-46EA-B4DF-DA0446D379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8"/>
        <c:overlap val="-22"/>
        <c:axId val="1401994912"/>
        <c:axId val="1401989632"/>
      </c:barChart>
      <c:catAx>
        <c:axId val="140199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01989632"/>
        <c:crosses val="autoZero"/>
        <c:auto val="1"/>
        <c:lblAlgn val="ctr"/>
        <c:lblOffset val="100"/>
        <c:noMultiLvlLbl val="0"/>
      </c:catAx>
      <c:valAx>
        <c:axId val="1401989632"/>
        <c:scaling>
          <c:orientation val="minMax"/>
          <c:max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01994912"/>
        <c:crosses val="autoZero"/>
        <c:crossBetween val="between"/>
      </c:valAx>
      <c:spPr>
        <a:noFill/>
        <a:ln w="34925">
          <a:solidFill>
            <a:srgbClr val="DCD6F2">
              <a:alpha val="49000"/>
            </a:srgb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34925" cap="flat" cmpd="sng" algn="ctr">
      <a:solidFill>
        <a:srgbClr val="D2E6C4"/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75291</xdr:colOff>
      <xdr:row>2</xdr:row>
      <xdr:rowOff>11790</xdr:rowOff>
    </xdr:from>
    <xdr:to>
      <xdr:col>10</xdr:col>
      <xdr:colOff>1028699</xdr:colOff>
      <xdr:row>18</xdr:row>
      <xdr:rowOff>48708</xdr:rowOff>
    </xdr:to>
    <xdr:graphicFrame macro="">
      <xdr:nvGraphicFramePr>
        <xdr:cNvPr id="4" name="תרשים 3">
          <a:extLst>
            <a:ext uri="{FF2B5EF4-FFF2-40B4-BE49-F238E27FC236}">
              <a16:creationId xmlns:a16="http://schemas.microsoft.com/office/drawing/2014/main" id="{8105E7A9-DF0B-4816-C583-A5BE8BADC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43A227-D807-4CCB-A469-05F3198C5E89}" name="טבלה3" displayName="טבלה3" ref="A3:E6" totalsRowShown="0" headerRowDxfId="26" dataDxfId="25">
  <autoFilter ref="A3:E6" xr:uid="{AD43A227-D807-4CCB-A469-05F3198C5E8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1A7F181-B789-466E-A7DF-5FB64FC7E7F8}" name="דירוג דחיפות" dataDxfId="24"/>
    <tableColumn id="2" xr3:uid="{A7BB02E7-98D6-4FCF-8BAA-3342893D2DD8}" name="שם הקורס" dataDxfId="23">
      <calculatedColumnFormula>IFERROR(INDEX(מעקב_מטלות!$A$2:$A$53, MATCH(דשבורד!A4,מעקב_מטלות!$M$2:$M$53,0),1),"-")</calculatedColumnFormula>
    </tableColumn>
    <tableColumn id="3" xr3:uid="{12B2F94A-E5D8-4875-911E-277ED00D6643}" name="שם מטלה" dataDxfId="22">
      <calculatedColumnFormula>IFERROR(INDEX(מעקב_מטלות!$B$2:$B$53, MATCH(A4,טבלה1[דירוג דחיפות],0),1), "-")</calculatedColumnFormula>
    </tableColumn>
    <tableColumn id="4" xr3:uid="{1BA4F46B-D579-4864-B8EB-85180D0C8920}" name="ימים שנותרו" dataDxfId="21">
      <calculatedColumnFormula>IFERROR(INDEX(מעקב_מטלות!$E$2:$E$53, MATCH(A4,טבלה1[דירוג דחיפות],0),1), "-")</calculatedColumnFormula>
    </tableColumn>
    <tableColumn id="5" xr3:uid="{A36A9F96-8052-4F95-9F55-FCAB8EF11037}" name="סטטוס" dataDxfId="20">
      <calculatedColumnFormula>IFERROR(INDEX(מעקב_מטלות!$F$2:$F$53, MATCH(דשבורד!A4,טבלה1[דירוג דחיפות],0),1), "-")</calculatedColumnFormula>
    </tableColumn>
  </tableColumns>
  <tableStyleInfo name="ניסיון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D6AFA-CDD5-447E-A89E-323424DE9FED}" name="טבלה1" displayName="טבלה1" ref="A1:M53" totalsRowShown="0" headerRowDxfId="19" dataDxfId="18">
  <autoFilter ref="A1:M53" xr:uid="{FBBD6AFA-CDD5-447E-A89E-323424DE9FED}"/>
  <tableColumns count="13">
    <tableColumn id="1" xr3:uid="{982355DA-4461-4A97-8625-A618439199E3}" name="שם הקורס" dataDxfId="17"/>
    <tableColumn id="2" xr3:uid="{D77E137C-98C7-426B-B61F-E1AE527A9AF8}" name="שם המטלה" dataDxfId="16"/>
    <tableColumn id="3" xr3:uid="{47AE6ED7-FED4-4843-B63C-20348ED0CCB0}" name="סוג המטלה" dataDxfId="15"/>
    <tableColumn id="4" xr3:uid="{992B7415-8293-4E05-A831-6669F08025C5}" name="תאריך_הגשה" dataDxfId="14"/>
    <tableColumn id="5" xr3:uid="{3DEBEF4F-8BE7-43A9-98F0-F517DD324263}" name="ימים שנותרו" dataDxfId="13">
      <calculatedColumnFormula>IF(D2="", "", IF(F2="הוגש", "✅", D2-TODAY()))</calculatedColumnFormula>
    </tableColumn>
    <tableColumn id="6" xr3:uid="{DF16481E-F6AF-4447-BBB8-061ACCEB094E}" name="סטטוס" dataDxfId="12"/>
    <tableColumn id="7" xr3:uid="{7C8AF918-47EC-424D-B3A8-BE4E4FE44FC5}" name="עדיפות" dataDxfId="11"/>
    <tableColumn id="8" xr3:uid="{05537218-2144-4951-B8FB-DDBFEFAB1AF2}" name="משקל בציון (%)" dataDxfId="10" dataCellStyle="Percent"/>
    <tableColumn id="9" xr3:uid="{4B53B7CD-18D4-41BE-B207-081788ADA4C8}" name="ציון" dataDxfId="9"/>
    <tableColumn id="10" xr3:uid="{88CC618B-54B4-459D-8592-3B78C0C13526}" name="ציון לפי אחוז" dataDxfId="8">
      <calculatedColumnFormula>I2*H2</calculatedColumnFormula>
    </tableColumn>
    <tableColumn id="11" xr3:uid="{26C7060A-38F9-4183-8808-A67AEDFD3C8A}" name="הערות" dataDxfId="7"/>
    <tableColumn id="13" xr3:uid="{22F785AD-1E18-4963-9179-171E45D2B4C9}" name="עמודת עזר לדירוג" dataDxfId="6">
      <calculatedColumnFormula>IFERROR(טבלה1[[#This Row],[ימים שנותרו]]+ROW()/10000,"")</calculatedColumnFormula>
    </tableColumn>
    <tableColumn id="12" xr3:uid="{5680222A-FDE0-4AF2-A771-F2A9AA1090A5}" name="דירוג דחיפות" dataDxfId="5">
      <calculatedColumnFormula>IFERROR(IF(טבלה1[[#This Row],[סטטוס]]&lt;&gt;"הוגש", _xlfn.RANK.EQ(L2,טבלה1[עמודת עזר לדירוג],1),"-"),"-")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7C40-ECA8-4163-9978-2DA1EEAE7ABC}">
  <sheetPr>
    <tabColor theme="8" tint="-0.499984740745262"/>
  </sheetPr>
  <dimension ref="A1:C15"/>
  <sheetViews>
    <sheetView rightToLeft="1" workbookViewId="0">
      <selection activeCell="B3" sqref="B3:B4"/>
    </sheetView>
  </sheetViews>
  <sheetFormatPr defaultRowHeight="14" x14ac:dyDescent="0.3"/>
  <cols>
    <col min="2" max="2" width="12.4140625" bestFit="1" customWidth="1"/>
  </cols>
  <sheetData>
    <row r="1" spans="1:3" ht="42" customHeight="1" thickBot="1" x14ac:dyDescent="0.35">
      <c r="A1" s="73" t="s">
        <v>23</v>
      </c>
      <c r="B1" s="73"/>
      <c r="C1" s="73"/>
    </row>
    <row r="2" spans="1:3" ht="14.5" thickBot="1" x14ac:dyDescent="0.35">
      <c r="A2" s="68"/>
      <c r="B2" s="70" t="s">
        <v>24</v>
      </c>
    </row>
    <row r="3" spans="1:3" x14ac:dyDescent="0.3">
      <c r="A3" s="18">
        <v>1</v>
      </c>
      <c r="B3" s="69"/>
    </row>
    <row r="4" spans="1:3" x14ac:dyDescent="0.3">
      <c r="A4" s="18">
        <v>2</v>
      </c>
      <c r="B4" s="67"/>
    </row>
    <row r="5" spans="1:3" x14ac:dyDescent="0.3">
      <c r="A5" s="18">
        <v>3</v>
      </c>
      <c r="B5" s="67"/>
    </row>
    <row r="6" spans="1:3" x14ac:dyDescent="0.3">
      <c r="A6" s="18">
        <v>4</v>
      </c>
      <c r="B6" s="67"/>
    </row>
    <row r="7" spans="1:3" x14ac:dyDescent="0.3">
      <c r="A7" s="18">
        <v>5</v>
      </c>
      <c r="B7" s="67"/>
    </row>
    <row r="8" spans="1:3" x14ac:dyDescent="0.3">
      <c r="A8" s="18">
        <v>6</v>
      </c>
      <c r="B8" s="67"/>
    </row>
    <row r="9" spans="1:3" x14ac:dyDescent="0.3">
      <c r="A9" s="18">
        <v>7</v>
      </c>
      <c r="B9" s="67"/>
    </row>
    <row r="10" spans="1:3" x14ac:dyDescent="0.3">
      <c r="A10" s="18">
        <v>8</v>
      </c>
      <c r="B10" s="67"/>
    </row>
    <row r="11" spans="1:3" x14ac:dyDescent="0.3">
      <c r="A11" s="18">
        <v>9</v>
      </c>
      <c r="B11" s="67"/>
    </row>
    <row r="12" spans="1:3" x14ac:dyDescent="0.3">
      <c r="A12" s="18">
        <v>10</v>
      </c>
      <c r="B12" s="67"/>
    </row>
    <row r="13" spans="1:3" x14ac:dyDescent="0.3">
      <c r="A13" s="18">
        <v>11</v>
      </c>
      <c r="B13" s="67"/>
    </row>
    <row r="14" spans="1:3" x14ac:dyDescent="0.3">
      <c r="A14" s="18">
        <v>12</v>
      </c>
      <c r="B14" s="67"/>
    </row>
    <row r="15" spans="1:3" x14ac:dyDescent="0.3">
      <c r="A15" s="18">
        <v>13</v>
      </c>
      <c r="B15" s="67"/>
    </row>
  </sheetData>
  <sheetProtection algorithmName="SHA-512" hashValue="9C0c6n4ri1gCjVWCeaGXvC2EXoXdifNmlFZR62Xuq8HpcOjPIXCVyGCxRIc+c9fYlB/Qzwkzqqbko9GgsgXVnA==" saltValue="Ui6k5XznoEoAQM3pM+g/sQ==" spinCount="100000" sheet="1" sort="0"/>
  <sortState xmlns:xlrd2="http://schemas.microsoft.com/office/spreadsheetml/2017/richdata2" ref="B3:B15">
    <sortCondition ref="B3:B15"/>
  </sortState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FC9F-A9C2-4D82-AA24-FAF634FB739B}">
  <sheetPr>
    <tabColor theme="8" tint="-0.249977111117893"/>
  </sheetPr>
  <dimension ref="A1:N38"/>
  <sheetViews>
    <sheetView rightToLeft="1" zoomScale="70" zoomScaleNormal="70" workbookViewId="0">
      <selection activeCell="C11" sqref="C11"/>
    </sheetView>
  </sheetViews>
  <sheetFormatPr defaultRowHeight="14" x14ac:dyDescent="0.3"/>
  <cols>
    <col min="1" max="14" width="13.58203125" customWidth="1"/>
    <col min="21" max="21" width="8.6640625" customWidth="1"/>
  </cols>
  <sheetData>
    <row r="1" spans="1:5" ht="14.5" thickBot="1" x14ac:dyDescent="0.35"/>
    <row r="2" spans="1:5" ht="18.5" thickBot="1" x14ac:dyDescent="0.45">
      <c r="A2" s="74" t="s">
        <v>27</v>
      </c>
      <c r="B2" s="75"/>
      <c r="C2" s="75"/>
      <c r="D2" s="75"/>
      <c r="E2" s="76"/>
    </row>
    <row r="3" spans="1:5" x14ac:dyDescent="0.3">
      <c r="A3" s="29" t="s">
        <v>29</v>
      </c>
      <c r="B3" s="1" t="s">
        <v>0</v>
      </c>
      <c r="C3" s="1" t="s">
        <v>28</v>
      </c>
      <c r="D3" s="1" t="s">
        <v>3</v>
      </c>
      <c r="E3" s="30" t="s">
        <v>4</v>
      </c>
    </row>
    <row r="4" spans="1:5" ht="30.5" customHeight="1" x14ac:dyDescent="0.3">
      <c r="A4" s="29">
        <v>1</v>
      </c>
      <c r="B4" s="35" t="str">
        <f ca="1">IFERROR(INDEX(מעקב_מטלות!$A$2:$A$53, MATCH(דשבורד!A4,מעקב_מטלות!$M$2:$M$53,0),1),"-")</f>
        <v>-</v>
      </c>
      <c r="C4" s="35" t="str">
        <f ca="1">IFERROR(INDEX(מעקב_מטלות!$B$2:$B$53, MATCH(A4,טבלה1[דירוג דחיפות],0),1), "-")</f>
        <v>-</v>
      </c>
      <c r="D4" s="16" t="str">
        <f ca="1">IFERROR(INDEX(מעקב_מטלות!$E$2:$E$53, MATCH(A4,טבלה1[דירוג דחיפות],0),1), "-")</f>
        <v>-</v>
      </c>
      <c r="E4" s="31" t="str">
        <f ca="1">IFERROR(INDEX(מעקב_מטלות!$F$2:$F$53, MATCH(דשבורד!A4,טבלה1[דירוג דחיפות],0),1), "-")</f>
        <v>-</v>
      </c>
    </row>
    <row r="5" spans="1:5" ht="30.5" customHeight="1" x14ac:dyDescent="0.3">
      <c r="A5" s="29">
        <v>2</v>
      </c>
      <c r="B5" s="35" t="str">
        <f ca="1">IFERROR(INDEX(מעקב_מטלות!$A$2:$A$53, MATCH(דשבורד!A5,מעקב_מטלות!$M$2:$M$53,0),1),"-")</f>
        <v>-</v>
      </c>
      <c r="C5" s="35" t="str">
        <f ca="1">IFERROR(INDEX(מעקב_מטלות!$B$2:$B$53, MATCH(A5,טבלה1[דירוג דחיפות],0),1), "-")</f>
        <v>-</v>
      </c>
      <c r="D5" s="16" t="str">
        <f ca="1">IFERROR(INDEX(מעקב_מטלות!$E$2:$E$53, MATCH(A5,טבלה1[דירוג דחיפות],0),1), "-")</f>
        <v>-</v>
      </c>
      <c r="E5" s="31" t="str">
        <f ca="1">IFERROR(INDEX(מעקב_מטלות!$F$2:$F$53, MATCH(דשבורד!A5,טבלה1[דירוג דחיפות],0),1), "-")</f>
        <v>-</v>
      </c>
    </row>
    <row r="6" spans="1:5" ht="30.5" customHeight="1" thickBot="1" x14ac:dyDescent="0.35">
      <c r="A6" s="32">
        <v>3</v>
      </c>
      <c r="B6" s="36" t="str">
        <f ca="1">IFERROR(INDEX(מעקב_מטלות!$A$2:$A$53, MATCH(דשבורד!A6,מעקב_מטלות!$M$2:$M$53,0),1),"-")</f>
        <v>-</v>
      </c>
      <c r="C6" s="36" t="str">
        <f ca="1">IFERROR(INDEX(מעקב_מטלות!$B$2:$B$53, MATCH(A6,טבלה1[דירוג דחיפות],0),1), "-")</f>
        <v>-</v>
      </c>
      <c r="D6" s="33" t="str">
        <f ca="1">IFERROR(INDEX(מעקב_מטלות!$E$2:$E$53, MATCH(A6,טבלה1[דירוג דחיפות],0),1), "-")</f>
        <v>-</v>
      </c>
      <c r="E6" s="34" t="str">
        <f ca="1">IFERROR(INDEX(מעקב_מטלות!$F$2:$F$53, MATCH(דשבורד!A6,טבלה1[דירוג דחיפות],0),1), "-")</f>
        <v>-</v>
      </c>
    </row>
    <row r="9" spans="1:5" ht="14.5" thickBot="1" x14ac:dyDescent="0.35"/>
    <row r="10" spans="1:5" ht="19" thickTop="1" thickBot="1" x14ac:dyDescent="0.35">
      <c r="B10" s="77" t="s">
        <v>53</v>
      </c>
      <c r="C10" s="78"/>
    </row>
    <row r="11" spans="1:5" ht="28.5" customHeight="1" thickTop="1" thickBot="1" x14ac:dyDescent="0.35">
      <c r="B11" s="60" t="s">
        <v>50</v>
      </c>
      <c r="C11" s="71"/>
    </row>
    <row r="12" spans="1:5" ht="28.5" customHeight="1" thickBot="1" x14ac:dyDescent="0.35">
      <c r="B12" s="61" t="s">
        <v>51</v>
      </c>
      <c r="C12" s="72"/>
    </row>
    <row r="13" spans="1:5" ht="28.5" customHeight="1" thickBot="1" x14ac:dyDescent="0.35">
      <c r="B13" s="61" t="s">
        <v>52</v>
      </c>
      <c r="C13" s="63">
        <f>SUMIF(טבלה1[שם הקורס],דשבורד!$C$11,טבלה1[ציון לפי אחוז])</f>
        <v>0</v>
      </c>
    </row>
    <row r="14" spans="1:5" ht="28.5" customHeight="1" thickBot="1" x14ac:dyDescent="0.35">
      <c r="B14" s="61" t="s">
        <v>54</v>
      </c>
      <c r="C14" s="63">
        <f>1-SUMIF(טבלה1[שם הקורס],דשבורד!C11,טבלה1[משקל בציון (%)])</f>
        <v>1</v>
      </c>
    </row>
    <row r="15" spans="1:5" ht="28.5" customHeight="1" thickBot="1" x14ac:dyDescent="0.35">
      <c r="B15" s="62" t="s">
        <v>55</v>
      </c>
      <c r="C15" s="64">
        <f>IFERROR((C12-C13)/(C14),"-")</f>
        <v>0</v>
      </c>
    </row>
    <row r="16" spans="1:5" ht="14.5" thickTop="1" x14ac:dyDescent="0.3"/>
    <row r="19" spans="1:14" ht="14.5" thickBot="1" x14ac:dyDescent="0.35"/>
    <row r="20" spans="1:14" x14ac:dyDescent="0.3">
      <c r="A20" s="24"/>
      <c r="B20" s="25">
        <v>1</v>
      </c>
      <c r="C20" s="25">
        <v>2</v>
      </c>
      <c r="D20" s="25">
        <v>3</v>
      </c>
      <c r="E20" s="25">
        <v>4</v>
      </c>
      <c r="F20" s="25">
        <v>5</v>
      </c>
      <c r="G20" s="25">
        <v>6</v>
      </c>
      <c r="H20" s="25">
        <v>7</v>
      </c>
      <c r="I20" s="25">
        <v>8</v>
      </c>
      <c r="J20" s="25">
        <v>9</v>
      </c>
      <c r="K20" s="25">
        <v>10</v>
      </c>
      <c r="L20" s="25">
        <v>11</v>
      </c>
      <c r="M20" s="25">
        <v>12</v>
      </c>
      <c r="N20" s="26">
        <v>13</v>
      </c>
    </row>
    <row r="21" spans="1:14" x14ac:dyDescent="0.3">
      <c r="A21" s="27" t="s">
        <v>0</v>
      </c>
      <c r="B21" s="51">
        <f>INDEX(הגדרות_משתמש!$B$3:'הגדרות_משתמש'!$B$15,COLUMNS($B$21:B21))</f>
        <v>0</v>
      </c>
      <c r="C21" s="51">
        <f>INDEX(הגדרות_משתמש!$B$3:'הגדרות_משתמש'!$B$15,COLUMNS($B$21:C21))</f>
        <v>0</v>
      </c>
      <c r="D21" s="51">
        <f>INDEX(הגדרות_משתמש!$B$3:'הגדרות_משתמש'!$B$15,COLUMNS($B$21:D21))</f>
        <v>0</v>
      </c>
      <c r="E21" s="51">
        <f>INDEX(הגדרות_משתמש!$B$3:'הגדרות_משתמש'!$B$15,COLUMNS($B$21:E21))</f>
        <v>0</v>
      </c>
      <c r="F21" s="51">
        <f>INDEX(הגדרות_משתמש!$B$3:'הגדרות_משתמש'!$B$15,COLUMNS($B$21:F21))</f>
        <v>0</v>
      </c>
      <c r="G21" s="51">
        <f>INDEX(הגדרות_משתמש!$B$3:'הגדרות_משתמש'!$B$15,COLUMNS($B$21:G21))</f>
        <v>0</v>
      </c>
      <c r="H21" s="51">
        <f>INDEX(הגדרות_משתמש!$B$3:'הגדרות_משתמש'!$B$15,COLUMNS($B$21:H21))</f>
        <v>0</v>
      </c>
      <c r="I21" s="51">
        <f>INDEX(הגדרות_משתמש!$B$3:'הגדרות_משתמש'!$B$15,COLUMNS($B$21:I21))</f>
        <v>0</v>
      </c>
      <c r="J21" s="51">
        <f>INDEX(הגדרות_משתמש!$B$3:'הגדרות_משתמש'!$B$15,COLUMNS($B$21:J21))</f>
        <v>0</v>
      </c>
      <c r="K21" s="51">
        <f>INDEX(הגדרות_משתמש!$B$3:'הגדרות_משתמש'!$B$15,COLUMNS($B$21:K21))</f>
        <v>0</v>
      </c>
      <c r="L21" s="51">
        <f>INDEX(הגדרות_משתמש!$B$3:'הגדרות_משתמש'!$B$15,COLUMNS($B$21:L21))</f>
        <v>0</v>
      </c>
      <c r="M21" s="51">
        <f>INDEX(הגדרות_משתמש!$B$3:'הגדרות_משתמש'!$B$15,COLUMNS($B$21:M21))</f>
        <v>0</v>
      </c>
      <c r="N21" s="52">
        <f>INDEX(הגדרות_משתמש!$B$3:'הגדרות_משתמש'!$B$15,COLUMNS($B$21:N21))</f>
        <v>0</v>
      </c>
    </row>
    <row r="22" spans="1:14" ht="14.5" thickBot="1" x14ac:dyDescent="0.35">
      <c r="A22" s="28" t="s">
        <v>35</v>
      </c>
      <c r="B22" s="53">
        <f>SUMIF(מעקב_מטלות!$A$2:'מעקב_מטלות'!$A$53,דשבורד!B21,מעקב_מטלות!$J$2:$J$53)</f>
        <v>0</v>
      </c>
      <c r="C22" s="53">
        <f>SUMIF(מעקב_מטלות!$A$2:'מעקב_מטלות'!$A$53,דשבורד!C21,מעקב_מטלות!$J$2:$J$53)</f>
        <v>0</v>
      </c>
      <c r="D22" s="53">
        <f>SUMIF(מעקב_מטלות!$A$2:'מעקב_מטלות'!$A$53,דשבורד!D21,מעקב_מטלות!$J$2:$J$53)</f>
        <v>0</v>
      </c>
      <c r="E22" s="53">
        <f>SUMIF(מעקב_מטלות!$A$2:'מעקב_מטלות'!$A$53,דשבורד!E21,מעקב_מטלות!$J$2:$J$53)</f>
        <v>0</v>
      </c>
      <c r="F22" s="53">
        <f>SUMIF(מעקב_מטלות!$A$2:'מעקב_מטלות'!$A$53,דשבורד!F21,מעקב_מטלות!$J$2:$J$53)</f>
        <v>0</v>
      </c>
      <c r="G22" s="53">
        <f>SUMIF(מעקב_מטלות!$A$2:'מעקב_מטלות'!$A$53,דשבורד!G21,מעקב_מטלות!$J$2:$J$53)</f>
        <v>0</v>
      </c>
      <c r="H22" s="53">
        <f>SUMIF(מעקב_מטלות!$A$2:'מעקב_מטלות'!$A$53,דשבורד!H21,מעקב_מטלות!$J$2:$J$53)</f>
        <v>0</v>
      </c>
      <c r="I22" s="53">
        <f>SUMIF(מעקב_מטלות!$A$2:'מעקב_מטלות'!$A$53,דשבורד!I21,מעקב_מטלות!$J$2:$J$53)</f>
        <v>0</v>
      </c>
      <c r="J22" s="53">
        <f>SUMIF(מעקב_מטלות!$A$2:'מעקב_מטלות'!$A$53,דשבורד!J21,מעקב_מטלות!$J$2:$J$53)</f>
        <v>0</v>
      </c>
      <c r="K22" s="53">
        <f>SUMIF(מעקב_מטלות!$A$2:'מעקב_מטלות'!$A$53,דשבורד!K21,מעקב_מטלות!$J$2:$J$53)</f>
        <v>0</v>
      </c>
      <c r="L22" s="53">
        <f>SUMIF(מעקב_מטלות!$A$2:'מעקב_מטלות'!$A$53,דשבורד!L21,מעקב_מטלות!$J$2:$J$53)</f>
        <v>0</v>
      </c>
      <c r="M22" s="53">
        <f>SUMIF(מעקב_מטלות!$A$2:'מעקב_מטלות'!$A$53,דשבורד!M21,מעקב_מטלות!$J$2:$J$53)</f>
        <v>0</v>
      </c>
      <c r="N22" s="53">
        <f>SUMIF(מעקב_מטלות!$A$2:'מעקב_מטלות'!$A$53,דשבורד!N21,מעקב_מטלות!$J$2:$J$53)</f>
        <v>0</v>
      </c>
    </row>
    <row r="23" spans="1:14" ht="14.5" thickBot="1" x14ac:dyDescent="0.35"/>
    <row r="24" spans="1:14" ht="14.5" thickBot="1" x14ac:dyDescent="0.35">
      <c r="A24" s="37" t="s">
        <v>37</v>
      </c>
      <c r="B24" s="38" t="s">
        <v>38</v>
      </c>
      <c r="C24" s="39" t="s">
        <v>39</v>
      </c>
    </row>
    <row r="26" spans="1:14" ht="14.5" thickBot="1" x14ac:dyDescent="0.35"/>
    <row r="27" spans="1:14" ht="28.5" thickBot="1" x14ac:dyDescent="0.35">
      <c r="A27" s="47" t="s">
        <v>48</v>
      </c>
      <c r="B27" s="45">
        <v>2025</v>
      </c>
      <c r="C27" s="46" t="s">
        <v>47</v>
      </c>
      <c r="D27" s="44">
        <v>11</v>
      </c>
      <c r="E27" s="1"/>
      <c r="F27" s="1"/>
      <c r="G27" s="1"/>
    </row>
    <row r="28" spans="1:14" ht="14.5" hidden="1" thickBot="1" x14ac:dyDescent="0.35">
      <c r="A28" s="1"/>
      <c r="B28" s="43">
        <f>DATE(B27,D27,1)</f>
        <v>45962</v>
      </c>
      <c r="C28" s="1"/>
      <c r="D28" s="1"/>
      <c r="E28" s="1"/>
      <c r="F28" s="1"/>
      <c r="G28" s="1"/>
    </row>
    <row r="29" spans="1:14" ht="20" customHeight="1" x14ac:dyDescent="0.3">
      <c r="A29" s="40" t="s">
        <v>40</v>
      </c>
      <c r="B29" s="41" t="s">
        <v>41</v>
      </c>
      <c r="C29" s="41" t="s">
        <v>42</v>
      </c>
      <c r="D29" s="41" t="s">
        <v>43</v>
      </c>
      <c r="E29" s="41" t="s">
        <v>44</v>
      </c>
      <c r="F29" s="41" t="s">
        <v>45</v>
      </c>
      <c r="G29" s="42" t="s">
        <v>46</v>
      </c>
    </row>
    <row r="30" spans="1:14" ht="20" customHeight="1" x14ac:dyDescent="0.3">
      <c r="A30" s="54">
        <f>B28-WEEKDAY(B28)+1</f>
        <v>45956</v>
      </c>
      <c r="B30" s="55">
        <f t="shared" ref="B30:G35" si="0">A30+1</f>
        <v>45957</v>
      </c>
      <c r="C30" s="55">
        <f t="shared" si="0"/>
        <v>45958</v>
      </c>
      <c r="D30" s="55">
        <f t="shared" si="0"/>
        <v>45959</v>
      </c>
      <c r="E30" s="55">
        <f t="shared" si="0"/>
        <v>45960</v>
      </c>
      <c r="F30" s="55">
        <f t="shared" si="0"/>
        <v>45961</v>
      </c>
      <c r="G30" s="56">
        <f t="shared" si="0"/>
        <v>45962</v>
      </c>
    </row>
    <row r="31" spans="1:14" ht="20" customHeight="1" x14ac:dyDescent="0.3">
      <c r="A31" s="54">
        <f>G30+1</f>
        <v>45963</v>
      </c>
      <c r="B31" s="55">
        <f t="shared" si="0"/>
        <v>45964</v>
      </c>
      <c r="C31" s="55">
        <f t="shared" si="0"/>
        <v>45965</v>
      </c>
      <c r="D31" s="55">
        <f t="shared" si="0"/>
        <v>45966</v>
      </c>
      <c r="E31" s="55">
        <f t="shared" si="0"/>
        <v>45967</v>
      </c>
      <c r="F31" s="55">
        <f t="shared" si="0"/>
        <v>45968</v>
      </c>
      <c r="G31" s="56">
        <f t="shared" si="0"/>
        <v>45969</v>
      </c>
    </row>
    <row r="32" spans="1:14" ht="20" customHeight="1" x14ac:dyDescent="0.3">
      <c r="A32" s="54">
        <f>G31+1</f>
        <v>45970</v>
      </c>
      <c r="B32" s="55">
        <f t="shared" si="0"/>
        <v>45971</v>
      </c>
      <c r="C32" s="55">
        <f t="shared" si="0"/>
        <v>45972</v>
      </c>
      <c r="D32" s="55">
        <f t="shared" si="0"/>
        <v>45973</v>
      </c>
      <c r="E32" s="55">
        <f t="shared" si="0"/>
        <v>45974</v>
      </c>
      <c r="F32" s="55">
        <f t="shared" si="0"/>
        <v>45975</v>
      </c>
      <c r="G32" s="56">
        <f t="shared" si="0"/>
        <v>45976</v>
      </c>
    </row>
    <row r="33" spans="1:7" ht="20" customHeight="1" x14ac:dyDescent="0.3">
      <c r="A33" s="54">
        <f>G32+1</f>
        <v>45977</v>
      </c>
      <c r="B33" s="55">
        <f t="shared" si="0"/>
        <v>45978</v>
      </c>
      <c r="C33" s="55">
        <f t="shared" si="0"/>
        <v>45979</v>
      </c>
      <c r="D33" s="55">
        <f t="shared" si="0"/>
        <v>45980</v>
      </c>
      <c r="E33" s="55">
        <f t="shared" si="0"/>
        <v>45981</v>
      </c>
      <c r="F33" s="55">
        <f t="shared" si="0"/>
        <v>45982</v>
      </c>
      <c r="G33" s="56">
        <f t="shared" si="0"/>
        <v>45983</v>
      </c>
    </row>
    <row r="34" spans="1:7" ht="20" customHeight="1" x14ac:dyDescent="0.3">
      <c r="A34" s="54">
        <f>G33+1</f>
        <v>45984</v>
      </c>
      <c r="B34" s="55">
        <f t="shared" si="0"/>
        <v>45985</v>
      </c>
      <c r="C34" s="55">
        <f t="shared" si="0"/>
        <v>45986</v>
      </c>
      <c r="D34" s="55">
        <f t="shared" si="0"/>
        <v>45987</v>
      </c>
      <c r="E34" s="55">
        <f t="shared" si="0"/>
        <v>45988</v>
      </c>
      <c r="F34" s="55">
        <f t="shared" si="0"/>
        <v>45989</v>
      </c>
      <c r="G34" s="56">
        <f t="shared" si="0"/>
        <v>45990</v>
      </c>
    </row>
    <row r="35" spans="1:7" ht="20" customHeight="1" thickBot="1" x14ac:dyDescent="0.35">
      <c r="A35" s="57">
        <f>G34+1</f>
        <v>45991</v>
      </c>
      <c r="B35" s="58">
        <f t="shared" si="0"/>
        <v>45992</v>
      </c>
      <c r="C35" s="58">
        <f t="shared" si="0"/>
        <v>45993</v>
      </c>
      <c r="D35" s="58">
        <f t="shared" si="0"/>
        <v>45994</v>
      </c>
      <c r="E35" s="58">
        <f t="shared" si="0"/>
        <v>45995</v>
      </c>
      <c r="F35" s="58">
        <f t="shared" si="0"/>
        <v>45996</v>
      </c>
      <c r="G35" s="59">
        <f t="shared" si="0"/>
        <v>45997</v>
      </c>
    </row>
    <row r="38" spans="1:7" x14ac:dyDescent="0.3">
      <c r="A38" s="79" t="s">
        <v>56</v>
      </c>
      <c r="B38" s="79"/>
      <c r="C38" s="79"/>
      <c r="D38" s="79"/>
      <c r="E38" s="79"/>
      <c r="F38" s="79"/>
      <c r="G38" s="79"/>
    </row>
  </sheetData>
  <sheetProtection algorithmName="SHA-512" hashValue="LGWz8dmIuJA9Wd0tAntGfxSVUDxUCg9X4qCn+iz3msv8e0jpqpu2adxogTgwNDn8MLjRMBapIxD8NAXRCrBy7g==" saltValue="lzYgVdS5Hwf/fU7IrNQx4A==" spinCount="100000" sheet="1" objects="1" scenarios="1" formatColumns="0" formatRows="0"/>
  <mergeCells count="3">
    <mergeCell ref="A2:E2"/>
    <mergeCell ref="B10:C10"/>
    <mergeCell ref="A38:G38"/>
  </mergeCells>
  <conditionalFormatting sqref="A4:A6">
    <cfRule type="iconSet" priority="3">
      <iconSet iconSet="3Flags">
        <cfvo type="percent" val="0"/>
        <cfvo type="percent" val="33"/>
        <cfvo type="percent" val="67"/>
      </iconSet>
    </cfRule>
  </conditionalFormatting>
  <conditionalFormatting sqref="A30:G35">
    <cfRule type="expression" dxfId="3" priority="2">
      <formula>MONTH(A30)&lt;&gt;$D$27</formula>
    </cfRule>
  </conditionalFormatting>
  <conditionalFormatting sqref="B22:N22">
    <cfRule type="cellIs" dxfId="2" priority="10" operator="lessThan">
      <formula>60</formula>
    </cfRule>
    <cfRule type="cellIs" dxfId="1" priority="11" operator="between">
      <formula>79</formula>
      <formula>59</formula>
    </cfRule>
    <cfRule type="cellIs" dxfId="0" priority="12" operator="greaterThanOrEqual">
      <formula>80</formula>
    </cfRule>
  </conditionalFormatting>
  <dataValidations count="3">
    <dataValidation type="list" allowBlank="1" showInputMessage="1" showErrorMessage="1" promptTitle="אנא בחר חודש" prompt="בחר חודש מתוך הרשימה" sqref="D27" xr:uid="{ECDAD623-C616-4A3D-BC6C-33807762B1C7}">
      <formula1>"1,2,3,4,5,6,7,8,9,10,11,12"</formula1>
    </dataValidation>
    <dataValidation type="list" allowBlank="1" showInputMessage="1" showErrorMessage="1" sqref="B27" xr:uid="{6E7B59EF-9B00-4497-88C3-7433D2C362C0}">
      <formula1>שנת_לימודים</formula1>
    </dataValidation>
    <dataValidation type="list" allowBlank="1" showInputMessage="1" showErrorMessage="1" sqref="C11" xr:uid="{83FFA714-BFA1-4DB8-A64F-45155A92C697}">
      <formula1>שם_הקורס</formula1>
    </dataValidation>
  </dataValidations>
  <pageMargins left="0.7" right="0.7" top="0.75" bottom="0.75" header="0.3" footer="0.3"/>
  <pageSetup orientation="portrait" r:id="rId1"/>
  <headerFooter>
    <oddFooter>&amp;Cכל הזכויות שמורות 2025. לשימוש אישי בלבד!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F9E8513-5A67-4157-B765-74F2A867C790}">
            <xm:f>COUNTIF(מעקב_מטלות!$D$2:$D$53, A30)&gt;0</xm:f>
            <x14:dxf>
              <font>
                <color rgb="FFC00000"/>
              </font>
              <fill>
                <patternFill>
                  <bgColor rgb="FFF87474"/>
                </patternFill>
              </fill>
            </x14:dxf>
          </x14:cfRule>
          <xm:sqref>A30:G35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P65"/>
  <sheetViews>
    <sheetView rightToLeft="1" zoomScale="85" zoomScaleNormal="85" workbookViewId="0">
      <selection activeCell="E3" sqref="E3"/>
    </sheetView>
  </sheetViews>
  <sheetFormatPr defaultRowHeight="14" x14ac:dyDescent="0.3"/>
  <cols>
    <col min="1" max="1" width="12.6640625" style="1" customWidth="1"/>
    <col min="2" max="2" width="13.33203125" style="1" bestFit="1" customWidth="1"/>
    <col min="3" max="3" width="12.9140625" style="1" customWidth="1"/>
    <col min="4" max="4" width="12.08203125" style="1" customWidth="1"/>
    <col min="5" max="5" width="10.75" style="1" customWidth="1"/>
    <col min="6" max="6" width="11.4140625" style="1" customWidth="1"/>
    <col min="7" max="7" width="13" style="1" customWidth="1"/>
    <col min="8" max="8" width="18.25" style="9" customWidth="1"/>
    <col min="9" max="9" width="8.6640625" style="1"/>
    <col min="10" max="10" width="14.33203125" style="1" customWidth="1"/>
    <col min="11" max="11" width="18.9140625" style="1" customWidth="1"/>
    <col min="12" max="12" width="13.5" style="1" hidden="1" customWidth="1"/>
    <col min="13" max="13" width="9.83203125" style="1" customWidth="1"/>
    <col min="14" max="14" width="8.6640625" style="1"/>
    <col min="15" max="16" width="12.4140625" style="1" bestFit="1" customWidth="1"/>
    <col min="17" max="16384" width="8.6640625" style="1"/>
  </cols>
  <sheetData>
    <row r="1" spans="1:16" ht="28.5" thickBot="1" x14ac:dyDescent="0.35">
      <c r="A1" s="10" t="s">
        <v>0</v>
      </c>
      <c r="B1" s="10" t="s">
        <v>1</v>
      </c>
      <c r="C1" s="10" t="s">
        <v>2</v>
      </c>
      <c r="D1" s="10" t="s">
        <v>30</v>
      </c>
      <c r="E1" s="10" t="s">
        <v>3</v>
      </c>
      <c r="F1" s="10" t="s">
        <v>4</v>
      </c>
      <c r="G1" s="10" t="s">
        <v>5</v>
      </c>
      <c r="H1" s="10" t="s">
        <v>8</v>
      </c>
      <c r="I1" s="10" t="s">
        <v>6</v>
      </c>
      <c r="J1" s="10" t="s">
        <v>25</v>
      </c>
      <c r="K1" s="10" t="s">
        <v>7</v>
      </c>
      <c r="L1" s="10" t="s">
        <v>31</v>
      </c>
      <c r="M1" s="10" t="s">
        <v>29</v>
      </c>
      <c r="O1" s="80" t="s">
        <v>34</v>
      </c>
      <c r="P1" s="81"/>
    </row>
    <row r="2" spans="1:16" ht="14.5" thickBot="1" x14ac:dyDescent="0.35">
      <c r="A2" s="66"/>
      <c r="B2" s="66"/>
      <c r="C2" s="12"/>
      <c r="D2" s="13"/>
      <c r="E2" s="15" t="str">
        <f t="shared" ref="E2:E27" ca="1" si="0">IF(D2="", "", IF(F2="הוגש", "✅", D2-TODAY()))</f>
        <v/>
      </c>
      <c r="F2" s="12"/>
      <c r="G2" s="12"/>
      <c r="H2" s="14"/>
      <c r="I2" s="12"/>
      <c r="J2" s="16">
        <f>I2*H2</f>
        <v>0</v>
      </c>
      <c r="K2" s="65"/>
      <c r="L2" s="16" t="str">
        <f ca="1">IFERROR(טבלה1[[#This Row],[ימים שנותרו]]+ROW()/10000,"")</f>
        <v/>
      </c>
      <c r="M2" s="16" t="str">
        <f ca="1">IFERROR(IF(טבלה1[[#This Row],[סטטוס]]&lt;&gt;"הוגש", _xlfn.RANK.EQ(L2,טבלה1[עמודת עזר לדירוג],1),"-"),"-")</f>
        <v>-</v>
      </c>
      <c r="O2" s="19" t="s">
        <v>0</v>
      </c>
      <c r="P2" s="20"/>
    </row>
    <row r="3" spans="1:16" ht="14.5" thickBot="1" x14ac:dyDescent="0.35">
      <c r="A3" s="66"/>
      <c r="B3" s="66"/>
      <c r="C3" s="12"/>
      <c r="D3" s="13"/>
      <c r="E3" s="15" t="str">
        <f t="shared" ca="1" si="0"/>
        <v/>
      </c>
      <c r="F3" s="12"/>
      <c r="G3" s="12"/>
      <c r="H3" s="14"/>
      <c r="I3" s="12"/>
      <c r="J3" s="16">
        <f t="shared" ref="J3:J4" si="1">I3*H3</f>
        <v>0</v>
      </c>
      <c r="K3" s="65"/>
      <c r="L3" s="16" t="str">
        <f ca="1">IFERROR(טבלה1[[#This Row],[ימים שנותרו]]+ROW()/10000,"")</f>
        <v/>
      </c>
      <c r="M3" s="16" t="str">
        <f ca="1">IFERROR(IF(טבלה1[[#This Row],[סטטוס]]&lt;&gt;"הוגש", _xlfn.RANK.EQ(L3,טבלה1[עמודת עזר לדירוג],1),"-"),"-")</f>
        <v>-</v>
      </c>
      <c r="N3" s="10"/>
      <c r="O3" s="11" t="s">
        <v>26</v>
      </c>
      <c r="P3" s="50">
        <f>SUMIF(טבלה1[שם הקורס],P2,טבלה1[ציון לפי אחוז])</f>
        <v>0</v>
      </c>
    </row>
    <row r="4" spans="1:16" x14ac:dyDescent="0.3">
      <c r="A4" s="66"/>
      <c r="B4" s="66"/>
      <c r="C4" s="12"/>
      <c r="D4" s="13"/>
      <c r="E4" s="15" t="str">
        <f t="shared" ca="1" si="0"/>
        <v/>
      </c>
      <c r="F4" s="12"/>
      <c r="G4" s="12"/>
      <c r="H4" s="14"/>
      <c r="I4" s="12"/>
      <c r="J4" s="16">
        <f t="shared" si="1"/>
        <v>0</v>
      </c>
      <c r="K4" s="65"/>
      <c r="L4" s="16" t="str">
        <f ca="1">IFERROR(טבלה1[[#This Row],[ימים שנותרו]]+ROW()/10000,"")</f>
        <v/>
      </c>
      <c r="M4" s="16" t="str">
        <f ca="1">IFERROR(IF(טבלה1[[#This Row],[סטטוס]]&lt;&gt;"הוגש", _xlfn.RANK.EQ(L4,טבלה1[עמודת עזר לדירוג],1),"-"),"-")</f>
        <v>-</v>
      </c>
    </row>
    <row r="5" spans="1:16" x14ac:dyDescent="0.3">
      <c r="A5" s="66"/>
      <c r="B5" s="66"/>
      <c r="C5" s="12"/>
      <c r="D5" s="13"/>
      <c r="E5" s="15" t="str">
        <f t="shared" ca="1" si="0"/>
        <v/>
      </c>
      <c r="F5" s="12"/>
      <c r="G5" s="12"/>
      <c r="H5" s="14"/>
      <c r="I5" s="12"/>
      <c r="J5" s="16">
        <f t="shared" ref="J5:J36" si="2">I5*H5</f>
        <v>0</v>
      </c>
      <c r="K5" s="65"/>
      <c r="L5" s="16" t="str">
        <f ca="1">IFERROR(טבלה1[[#This Row],[ימים שנותרו]]+ROW()/10000,"")</f>
        <v/>
      </c>
      <c r="M5" s="16" t="str">
        <f ca="1">IFERROR(IF(טבלה1[[#This Row],[סטטוס]]&lt;&gt;"הוגש", _xlfn.RANK.EQ(L5,טבלה1[עמודת עזר לדירוג],1),"-"),"-")</f>
        <v>-</v>
      </c>
    </row>
    <row r="6" spans="1:16" x14ac:dyDescent="0.3">
      <c r="A6" s="66"/>
      <c r="B6" s="66"/>
      <c r="C6" s="12"/>
      <c r="D6" s="13"/>
      <c r="E6" s="15" t="str">
        <f t="shared" ca="1" si="0"/>
        <v/>
      </c>
      <c r="F6" s="12"/>
      <c r="G6" s="12"/>
      <c r="H6" s="14"/>
      <c r="I6" s="12"/>
      <c r="J6" s="16">
        <f t="shared" si="2"/>
        <v>0</v>
      </c>
      <c r="K6" s="65"/>
      <c r="L6" s="16" t="str">
        <f ca="1">IFERROR(טבלה1[[#This Row],[ימים שנותרו]]+ROW()/10000,"")</f>
        <v/>
      </c>
      <c r="M6" s="16" t="str">
        <f ca="1">IFERROR(IF(טבלה1[[#This Row],[סטטוס]]&lt;&gt;"הוגש", _xlfn.RANK.EQ(L6,טבלה1[עמודת עזר לדירוג],1),"-"),"-")</f>
        <v>-</v>
      </c>
    </row>
    <row r="7" spans="1:16" x14ac:dyDescent="0.3">
      <c r="A7" s="66"/>
      <c r="B7" s="66"/>
      <c r="C7" s="12"/>
      <c r="D7" s="13"/>
      <c r="E7" s="15" t="str">
        <f t="shared" ca="1" si="0"/>
        <v/>
      </c>
      <c r="F7" s="12"/>
      <c r="G7" s="12"/>
      <c r="H7" s="14"/>
      <c r="I7" s="12"/>
      <c r="J7" s="16">
        <f t="shared" si="2"/>
        <v>0</v>
      </c>
      <c r="K7" s="65"/>
      <c r="L7" s="16" t="str">
        <f ca="1">IFERROR(טבלה1[[#This Row],[ימים שנותרו]]+ROW()/10000,"")</f>
        <v/>
      </c>
      <c r="M7" s="16" t="str">
        <f ca="1">IFERROR(IF(טבלה1[[#This Row],[סטטוס]]&lt;&gt;"הוגש", _xlfn.RANK.EQ(L7,טבלה1[עמודת עזר לדירוג],1),"-"),"-")</f>
        <v>-</v>
      </c>
    </row>
    <row r="8" spans="1:16" x14ac:dyDescent="0.3">
      <c r="A8" s="66"/>
      <c r="B8" s="66"/>
      <c r="C8" s="12"/>
      <c r="D8" s="13"/>
      <c r="E8" s="15" t="str">
        <f t="shared" ca="1" si="0"/>
        <v/>
      </c>
      <c r="F8" s="12"/>
      <c r="G8" s="12"/>
      <c r="H8" s="14"/>
      <c r="I8" s="12"/>
      <c r="J8" s="16">
        <f t="shared" si="2"/>
        <v>0</v>
      </c>
      <c r="K8" s="65"/>
      <c r="L8" s="16" t="str">
        <f ca="1">IFERROR(טבלה1[[#This Row],[ימים שנותרו]]+ROW()/10000,"")</f>
        <v/>
      </c>
      <c r="M8" s="16" t="str">
        <f ca="1">IFERROR(IF(טבלה1[[#This Row],[סטטוס]]&lt;&gt;"הוגש", _xlfn.RANK.EQ(L8,טבלה1[עמודת עזר לדירוג],1),"-"),"-")</f>
        <v>-</v>
      </c>
    </row>
    <row r="9" spans="1:16" x14ac:dyDescent="0.3">
      <c r="A9" s="66"/>
      <c r="B9" s="66"/>
      <c r="C9" s="12"/>
      <c r="D9" s="13"/>
      <c r="E9" s="15" t="str">
        <f t="shared" ca="1" si="0"/>
        <v/>
      </c>
      <c r="F9" s="12"/>
      <c r="G9" s="12"/>
      <c r="H9" s="14"/>
      <c r="I9" s="12"/>
      <c r="J9" s="16">
        <f t="shared" si="2"/>
        <v>0</v>
      </c>
      <c r="K9" s="65"/>
      <c r="L9" s="16" t="str">
        <f ca="1">IFERROR(טבלה1[[#This Row],[ימים שנותרו]]+ROW()/10000,"")</f>
        <v/>
      </c>
      <c r="M9" s="16" t="str">
        <f ca="1">IFERROR(IF(טבלה1[[#This Row],[סטטוס]]&lt;&gt;"הוגש", _xlfn.RANK.EQ(L9,טבלה1[עמודת עזר לדירוג],1),"-"),"-")</f>
        <v>-</v>
      </c>
    </row>
    <row r="10" spans="1:16" x14ac:dyDescent="0.3">
      <c r="A10" s="66"/>
      <c r="B10" s="66"/>
      <c r="C10" s="12"/>
      <c r="D10" s="13"/>
      <c r="E10" s="15" t="str">
        <f t="shared" ca="1" si="0"/>
        <v/>
      </c>
      <c r="F10" s="12"/>
      <c r="G10" s="12"/>
      <c r="H10" s="14"/>
      <c r="I10" s="12"/>
      <c r="J10" s="16">
        <f t="shared" si="2"/>
        <v>0</v>
      </c>
      <c r="K10" s="65"/>
      <c r="L10" s="16" t="str">
        <f ca="1">IFERROR(טבלה1[[#This Row],[ימים שנותרו]]+ROW()/10000,"")</f>
        <v/>
      </c>
      <c r="M10" s="16" t="str">
        <f ca="1">IFERROR(IF(טבלה1[[#This Row],[סטטוס]]&lt;&gt;"הוגש", _xlfn.RANK.EQ(L10,טבלה1[עמודת עזר לדירוג],1),"-"),"-")</f>
        <v>-</v>
      </c>
    </row>
    <row r="11" spans="1:16" x14ac:dyDescent="0.3">
      <c r="A11" s="66"/>
      <c r="B11" s="66"/>
      <c r="C11" s="12"/>
      <c r="D11" s="13"/>
      <c r="E11" s="15" t="str">
        <f t="shared" ca="1" si="0"/>
        <v/>
      </c>
      <c r="F11" s="12"/>
      <c r="G11" s="12"/>
      <c r="H11" s="14"/>
      <c r="I11" s="12"/>
      <c r="J11" s="16">
        <f t="shared" si="2"/>
        <v>0</v>
      </c>
      <c r="K11" s="65"/>
      <c r="L11" s="16" t="str">
        <f ca="1">IFERROR(טבלה1[[#This Row],[ימים שנותרו]]+ROW()/10000,"")</f>
        <v/>
      </c>
      <c r="M11" s="16" t="str">
        <f ca="1">IFERROR(IF(טבלה1[[#This Row],[סטטוס]]&lt;&gt;"הוגש", _xlfn.RANK.EQ(L11,טבלה1[עמודת עזר לדירוג],1),"-"),"-")</f>
        <v>-</v>
      </c>
    </row>
    <row r="12" spans="1:16" x14ac:dyDescent="0.3">
      <c r="A12" s="66"/>
      <c r="B12" s="66"/>
      <c r="C12" s="12"/>
      <c r="D12" s="13"/>
      <c r="E12" s="15" t="str">
        <f t="shared" ca="1" si="0"/>
        <v/>
      </c>
      <c r="F12" s="12"/>
      <c r="G12" s="12"/>
      <c r="H12" s="14"/>
      <c r="I12" s="12"/>
      <c r="J12" s="16">
        <f t="shared" si="2"/>
        <v>0</v>
      </c>
      <c r="K12" s="65"/>
      <c r="L12" s="16" t="str">
        <f ca="1">IFERROR(טבלה1[[#This Row],[ימים שנותרו]]+ROW()/10000,"")</f>
        <v/>
      </c>
      <c r="M12" s="16" t="str">
        <f ca="1">IFERROR(IF(טבלה1[[#This Row],[סטטוס]]&lt;&gt;"הוגש", _xlfn.RANK.EQ(L12,טבלה1[עמודת עזר לדירוג],1),"-"),"-")</f>
        <v>-</v>
      </c>
    </row>
    <row r="13" spans="1:16" x14ac:dyDescent="0.3">
      <c r="A13" s="66"/>
      <c r="B13" s="66"/>
      <c r="C13" s="12"/>
      <c r="D13" s="13"/>
      <c r="E13" s="15" t="str">
        <f t="shared" ca="1" si="0"/>
        <v/>
      </c>
      <c r="F13" s="12"/>
      <c r="G13" s="12"/>
      <c r="H13" s="14"/>
      <c r="I13" s="12"/>
      <c r="J13" s="16">
        <f t="shared" si="2"/>
        <v>0</v>
      </c>
      <c r="K13" s="65"/>
      <c r="L13" s="16" t="str">
        <f ca="1">IFERROR(טבלה1[[#This Row],[ימים שנותרו]]+ROW()/10000,"")</f>
        <v/>
      </c>
      <c r="M13" s="16" t="str">
        <f ca="1">IFERROR(IF(טבלה1[[#This Row],[סטטוס]]&lt;&gt;"הוגש", _xlfn.RANK.EQ(L13,טבלה1[עמודת עזר לדירוג],1),"-"),"-")</f>
        <v>-</v>
      </c>
    </row>
    <row r="14" spans="1:16" x14ac:dyDescent="0.3">
      <c r="A14" s="66"/>
      <c r="B14" s="66"/>
      <c r="C14" s="12"/>
      <c r="D14" s="13"/>
      <c r="E14" s="15" t="str">
        <f t="shared" ca="1" si="0"/>
        <v/>
      </c>
      <c r="F14" s="12"/>
      <c r="G14" s="12"/>
      <c r="H14" s="14"/>
      <c r="I14" s="12"/>
      <c r="J14" s="16">
        <f t="shared" si="2"/>
        <v>0</v>
      </c>
      <c r="K14" s="65"/>
      <c r="L14" s="16" t="str">
        <f ca="1">IFERROR(טבלה1[[#This Row],[ימים שנותרו]]+ROW()/10000,"")</f>
        <v/>
      </c>
      <c r="M14" s="16" t="str">
        <f ca="1">IFERROR(IF(טבלה1[[#This Row],[סטטוס]]&lt;&gt;"הוגש", _xlfn.RANK.EQ(L14,טבלה1[עמודת עזר לדירוג],1),"-"),"-")</f>
        <v>-</v>
      </c>
    </row>
    <row r="15" spans="1:16" x14ac:dyDescent="0.3">
      <c r="A15" s="66"/>
      <c r="B15" s="66"/>
      <c r="C15" s="12"/>
      <c r="D15" s="13"/>
      <c r="E15" s="15" t="str">
        <f t="shared" ca="1" si="0"/>
        <v/>
      </c>
      <c r="F15" s="12"/>
      <c r="G15" s="12"/>
      <c r="H15" s="14"/>
      <c r="I15" s="12"/>
      <c r="J15" s="16">
        <f t="shared" si="2"/>
        <v>0</v>
      </c>
      <c r="K15" s="65"/>
      <c r="L15" s="16" t="str">
        <f ca="1">IFERROR(טבלה1[[#This Row],[ימים שנותרו]]+ROW()/10000,"")</f>
        <v/>
      </c>
      <c r="M15" s="16" t="str">
        <f ca="1">IFERROR(IF(טבלה1[[#This Row],[סטטוס]]&lt;&gt;"הוגש", _xlfn.RANK.EQ(L15,טבלה1[עמודת עזר לדירוג],1),"-"),"-")</f>
        <v>-</v>
      </c>
    </row>
    <row r="16" spans="1:16" x14ac:dyDescent="0.3">
      <c r="A16" s="66"/>
      <c r="B16" s="66"/>
      <c r="C16" s="12"/>
      <c r="D16" s="13"/>
      <c r="E16" s="15" t="str">
        <f t="shared" ca="1" si="0"/>
        <v/>
      </c>
      <c r="F16" s="12"/>
      <c r="G16" s="12"/>
      <c r="H16" s="14"/>
      <c r="I16" s="12"/>
      <c r="J16" s="16">
        <f t="shared" si="2"/>
        <v>0</v>
      </c>
      <c r="K16" s="65"/>
      <c r="L16" s="16" t="str">
        <f ca="1">IFERROR(טבלה1[[#This Row],[ימים שנותרו]]+ROW()/10000,"")</f>
        <v/>
      </c>
      <c r="M16" s="16" t="str">
        <f ca="1">IFERROR(IF(טבלה1[[#This Row],[סטטוס]]&lt;&gt;"הוגש", _xlfn.RANK.EQ(L16,טבלה1[עמודת עזר לדירוג],1),"-"),"-")</f>
        <v>-</v>
      </c>
    </row>
    <row r="17" spans="1:13" x14ac:dyDescent="0.3">
      <c r="A17" s="66"/>
      <c r="B17" s="66"/>
      <c r="C17" s="12"/>
      <c r="D17" s="13"/>
      <c r="E17" s="15" t="str">
        <f t="shared" ca="1" si="0"/>
        <v/>
      </c>
      <c r="F17" s="12"/>
      <c r="G17" s="12"/>
      <c r="H17" s="14"/>
      <c r="I17" s="12"/>
      <c r="J17" s="16">
        <f t="shared" si="2"/>
        <v>0</v>
      </c>
      <c r="K17" s="65"/>
      <c r="L17" s="16" t="str">
        <f ca="1">IFERROR(טבלה1[[#This Row],[ימים שנותרו]]+ROW()/10000,"")</f>
        <v/>
      </c>
      <c r="M17" s="16" t="str">
        <f ca="1">IFERROR(IF(טבלה1[[#This Row],[סטטוס]]&lt;&gt;"הוגש", _xlfn.RANK.EQ(L17,טבלה1[עמודת עזר לדירוג],1),"-"),"-")</f>
        <v>-</v>
      </c>
    </row>
    <row r="18" spans="1:13" x14ac:dyDescent="0.3">
      <c r="A18" s="66"/>
      <c r="B18" s="66"/>
      <c r="C18" s="12"/>
      <c r="D18" s="13"/>
      <c r="E18" s="15" t="str">
        <f t="shared" ca="1" si="0"/>
        <v/>
      </c>
      <c r="F18" s="12"/>
      <c r="G18" s="12"/>
      <c r="H18" s="14"/>
      <c r="I18" s="12"/>
      <c r="J18" s="16">
        <f t="shared" si="2"/>
        <v>0</v>
      </c>
      <c r="K18" s="65"/>
      <c r="L18" s="16" t="str">
        <f ca="1">IFERROR(טבלה1[[#This Row],[ימים שנותרו]]+ROW()/10000,"")</f>
        <v/>
      </c>
      <c r="M18" s="16" t="str">
        <f ca="1">IFERROR(IF(טבלה1[[#This Row],[סטטוס]]&lt;&gt;"הוגש", _xlfn.RANK.EQ(L18,טבלה1[עמודת עזר לדירוג],1),"-"),"-")</f>
        <v>-</v>
      </c>
    </row>
    <row r="19" spans="1:13" x14ac:dyDescent="0.3">
      <c r="A19" s="66"/>
      <c r="B19" s="66"/>
      <c r="C19" s="12"/>
      <c r="D19" s="13"/>
      <c r="E19" s="15" t="str">
        <f t="shared" ca="1" si="0"/>
        <v/>
      </c>
      <c r="F19" s="12"/>
      <c r="G19" s="12"/>
      <c r="H19" s="14"/>
      <c r="I19" s="12"/>
      <c r="J19" s="16">
        <f t="shared" si="2"/>
        <v>0</v>
      </c>
      <c r="K19" s="65"/>
      <c r="L19" s="16" t="str">
        <f ca="1">IFERROR(טבלה1[[#This Row],[ימים שנותרו]]+ROW()/10000,"")</f>
        <v/>
      </c>
      <c r="M19" s="16" t="str">
        <f ca="1">IFERROR(IF(טבלה1[[#This Row],[סטטוס]]&lt;&gt;"הוגש", _xlfn.RANK.EQ(L19,טבלה1[עמודת עזר לדירוג],1),"-"),"-")</f>
        <v>-</v>
      </c>
    </row>
    <row r="20" spans="1:13" x14ac:dyDescent="0.3">
      <c r="A20" s="66"/>
      <c r="B20" s="66"/>
      <c r="C20" s="12"/>
      <c r="D20" s="13"/>
      <c r="E20" s="15" t="str">
        <f t="shared" ca="1" si="0"/>
        <v/>
      </c>
      <c r="F20" s="12"/>
      <c r="G20" s="12"/>
      <c r="H20" s="14"/>
      <c r="I20" s="12"/>
      <c r="J20" s="16">
        <f t="shared" si="2"/>
        <v>0</v>
      </c>
      <c r="K20" s="65"/>
      <c r="L20" s="16" t="str">
        <f ca="1">IFERROR(טבלה1[[#This Row],[ימים שנותרו]]+ROW()/10000,"")</f>
        <v/>
      </c>
      <c r="M20" s="16" t="str">
        <f ca="1">IFERROR(IF(טבלה1[[#This Row],[סטטוס]]&lt;&gt;"הוגש", _xlfn.RANK.EQ(L20,טבלה1[עמודת עזר לדירוג],1),"-"),"-")</f>
        <v>-</v>
      </c>
    </row>
    <row r="21" spans="1:13" x14ac:dyDescent="0.3">
      <c r="A21" s="66"/>
      <c r="B21" s="66"/>
      <c r="C21" s="12"/>
      <c r="D21" s="13"/>
      <c r="E21" s="15" t="str">
        <f t="shared" ca="1" si="0"/>
        <v/>
      </c>
      <c r="F21" s="12"/>
      <c r="G21" s="12"/>
      <c r="H21" s="14"/>
      <c r="I21" s="12"/>
      <c r="J21" s="16">
        <f t="shared" si="2"/>
        <v>0</v>
      </c>
      <c r="K21" s="65"/>
      <c r="L21" s="16" t="str">
        <f ca="1">IFERROR(טבלה1[[#This Row],[ימים שנותרו]]+ROW()/10000,"")</f>
        <v/>
      </c>
      <c r="M21" s="16" t="str">
        <f ca="1">IFERROR(IF(טבלה1[[#This Row],[סטטוס]]&lt;&gt;"הוגש", _xlfn.RANK.EQ(L21,טבלה1[עמודת עזר לדירוג],1),"-"),"-")</f>
        <v>-</v>
      </c>
    </row>
    <row r="22" spans="1:13" x14ac:dyDescent="0.3">
      <c r="A22" s="66"/>
      <c r="B22" s="66"/>
      <c r="C22" s="12"/>
      <c r="D22" s="13"/>
      <c r="E22" s="15" t="str">
        <f t="shared" ca="1" si="0"/>
        <v/>
      </c>
      <c r="F22" s="12"/>
      <c r="G22" s="12"/>
      <c r="H22" s="14"/>
      <c r="I22" s="12"/>
      <c r="J22" s="16">
        <f t="shared" si="2"/>
        <v>0</v>
      </c>
      <c r="K22" s="65"/>
      <c r="L22" s="16" t="str">
        <f ca="1">IFERROR(טבלה1[[#This Row],[ימים שנותרו]]+ROW()/10000,"")</f>
        <v/>
      </c>
      <c r="M22" s="16" t="str">
        <f ca="1">IFERROR(IF(טבלה1[[#This Row],[סטטוס]]&lt;&gt;"הוגש", _xlfn.RANK.EQ(L22,טבלה1[עמודת עזר לדירוג],1),"-"),"-")</f>
        <v>-</v>
      </c>
    </row>
    <row r="23" spans="1:13" x14ac:dyDescent="0.3">
      <c r="A23" s="66"/>
      <c r="B23" s="66"/>
      <c r="C23" s="12"/>
      <c r="D23" s="13"/>
      <c r="E23" s="15" t="str">
        <f t="shared" ca="1" si="0"/>
        <v/>
      </c>
      <c r="F23" s="12"/>
      <c r="G23" s="12"/>
      <c r="H23" s="14"/>
      <c r="I23" s="12"/>
      <c r="J23" s="16">
        <f t="shared" si="2"/>
        <v>0</v>
      </c>
      <c r="K23" s="65"/>
      <c r="L23" s="16" t="str">
        <f ca="1">IFERROR(טבלה1[[#This Row],[ימים שנותרו]]+ROW()/10000,"")</f>
        <v/>
      </c>
      <c r="M23" s="16" t="str">
        <f ca="1">IFERROR(IF(טבלה1[[#This Row],[סטטוס]]&lt;&gt;"הוגש", _xlfn.RANK.EQ(L23,טבלה1[עמודת עזר לדירוג],1),"-"),"-")</f>
        <v>-</v>
      </c>
    </row>
    <row r="24" spans="1:13" x14ac:dyDescent="0.3">
      <c r="A24" s="66"/>
      <c r="B24" s="66"/>
      <c r="C24" s="12"/>
      <c r="D24" s="13"/>
      <c r="E24" s="15" t="str">
        <f t="shared" ca="1" si="0"/>
        <v/>
      </c>
      <c r="F24" s="12"/>
      <c r="G24" s="12"/>
      <c r="H24" s="14"/>
      <c r="I24" s="12"/>
      <c r="J24" s="16">
        <f t="shared" si="2"/>
        <v>0</v>
      </c>
      <c r="K24" s="65"/>
      <c r="L24" s="16" t="str">
        <f ca="1">IFERROR(טבלה1[[#This Row],[ימים שנותרו]]+ROW()/10000,"")</f>
        <v/>
      </c>
      <c r="M24" s="16" t="str">
        <f ca="1">IFERROR(IF(טבלה1[[#This Row],[סטטוס]]&lt;&gt;"הוגש", _xlfn.RANK.EQ(L24,טבלה1[עמודת עזר לדירוג],1),"-"),"-")</f>
        <v>-</v>
      </c>
    </row>
    <row r="25" spans="1:13" x14ac:dyDescent="0.3">
      <c r="A25" s="66"/>
      <c r="B25" s="66"/>
      <c r="C25" s="12"/>
      <c r="D25" s="13"/>
      <c r="E25" s="15" t="str">
        <f t="shared" ca="1" si="0"/>
        <v/>
      </c>
      <c r="F25" s="12"/>
      <c r="G25" s="12"/>
      <c r="H25" s="14"/>
      <c r="I25" s="12"/>
      <c r="J25" s="16">
        <f t="shared" si="2"/>
        <v>0</v>
      </c>
      <c r="K25" s="65"/>
      <c r="L25" s="16" t="str">
        <f ca="1">IFERROR(טבלה1[[#This Row],[ימים שנותרו]]+ROW()/10000,"")</f>
        <v/>
      </c>
      <c r="M25" s="16" t="str">
        <f ca="1">IFERROR(IF(טבלה1[[#This Row],[סטטוס]]&lt;&gt;"הוגש", _xlfn.RANK.EQ(L25,טבלה1[עמודת עזר לדירוג],1),"-"),"-")</f>
        <v>-</v>
      </c>
    </row>
    <row r="26" spans="1:13" x14ac:dyDescent="0.3">
      <c r="A26" s="66"/>
      <c r="B26" s="66"/>
      <c r="C26" s="12"/>
      <c r="D26" s="13"/>
      <c r="E26" s="15" t="str">
        <f t="shared" ca="1" si="0"/>
        <v/>
      </c>
      <c r="F26" s="12"/>
      <c r="G26" s="12"/>
      <c r="H26" s="14"/>
      <c r="I26" s="12"/>
      <c r="J26" s="16">
        <f t="shared" si="2"/>
        <v>0</v>
      </c>
      <c r="K26" s="65"/>
      <c r="L26" s="16" t="str">
        <f ca="1">IFERROR(טבלה1[[#This Row],[ימים שנותרו]]+ROW()/10000,"")</f>
        <v/>
      </c>
      <c r="M26" s="16" t="str">
        <f ca="1">IFERROR(IF(טבלה1[[#This Row],[סטטוס]]&lt;&gt;"הוגש", _xlfn.RANK.EQ(L26,טבלה1[עמודת עזר לדירוג],1),"-"),"-")</f>
        <v>-</v>
      </c>
    </row>
    <row r="27" spans="1:13" x14ac:dyDescent="0.3">
      <c r="A27" s="66"/>
      <c r="B27" s="66"/>
      <c r="C27" s="12"/>
      <c r="D27" s="13"/>
      <c r="E27" s="15" t="str">
        <f t="shared" ca="1" si="0"/>
        <v/>
      </c>
      <c r="F27" s="12"/>
      <c r="G27" s="12"/>
      <c r="H27" s="14"/>
      <c r="I27" s="12"/>
      <c r="J27" s="16">
        <f t="shared" si="2"/>
        <v>0</v>
      </c>
      <c r="K27" s="65"/>
      <c r="L27" s="16" t="str">
        <f ca="1">IFERROR(טבלה1[[#This Row],[ימים שנותרו]]+ROW()/10000,"")</f>
        <v/>
      </c>
      <c r="M27" s="16" t="str">
        <f ca="1">IFERROR(IF(טבלה1[[#This Row],[סטטוס]]&lt;&gt;"הוגש", _xlfn.RANK.EQ(L27,טבלה1[עמודת עזר לדירוג],1),"-"),"-")</f>
        <v>-</v>
      </c>
    </row>
    <row r="28" spans="1:13" x14ac:dyDescent="0.3">
      <c r="A28" s="66"/>
      <c r="B28" s="66"/>
      <c r="C28" s="12"/>
      <c r="D28" s="13"/>
      <c r="E28" s="15" t="str">
        <f t="shared" ref="E28:E40" ca="1" si="3">IF(D28="", "", IF(F28="הוגש", "✅", D28-TODAY()))</f>
        <v/>
      </c>
      <c r="F28" s="12"/>
      <c r="G28" s="12"/>
      <c r="H28" s="14"/>
      <c r="I28" s="12"/>
      <c r="J28" s="16">
        <f t="shared" si="2"/>
        <v>0</v>
      </c>
      <c r="K28" s="65"/>
      <c r="L28" s="16" t="str">
        <f ca="1">IFERROR(טבלה1[[#This Row],[ימים שנותרו]]+ROW()/10000,"")</f>
        <v/>
      </c>
      <c r="M28" s="16" t="str">
        <f ca="1">IFERROR(IF(טבלה1[[#This Row],[סטטוס]]&lt;&gt;"הוגש", _xlfn.RANK.EQ(L28,טבלה1[עמודת עזר לדירוג],1),"-"),"-")</f>
        <v>-</v>
      </c>
    </row>
    <row r="29" spans="1:13" x14ac:dyDescent="0.3">
      <c r="A29" s="66"/>
      <c r="B29" s="66"/>
      <c r="C29" s="12"/>
      <c r="D29" s="13"/>
      <c r="E29" s="15" t="str">
        <f t="shared" ca="1" si="3"/>
        <v/>
      </c>
      <c r="F29" s="12"/>
      <c r="G29" s="12"/>
      <c r="H29" s="14"/>
      <c r="I29" s="12"/>
      <c r="J29" s="16">
        <f t="shared" si="2"/>
        <v>0</v>
      </c>
      <c r="K29" s="65"/>
      <c r="L29" s="16" t="str">
        <f ca="1">IFERROR(טבלה1[[#This Row],[ימים שנותרו]]+ROW()/10000,"")</f>
        <v/>
      </c>
      <c r="M29" s="16" t="str">
        <f ca="1">IFERROR(IF(טבלה1[[#This Row],[סטטוס]]&lt;&gt;"הוגש", _xlfn.RANK.EQ(L29,טבלה1[עמודת עזר לדירוג],1),"-"),"-")</f>
        <v>-</v>
      </c>
    </row>
    <row r="30" spans="1:13" x14ac:dyDescent="0.3">
      <c r="A30" s="66"/>
      <c r="B30" s="66"/>
      <c r="C30" s="12"/>
      <c r="D30" s="13"/>
      <c r="E30" s="15" t="str">
        <f t="shared" ca="1" si="3"/>
        <v/>
      </c>
      <c r="F30" s="12"/>
      <c r="G30" s="12"/>
      <c r="H30" s="14"/>
      <c r="I30" s="12"/>
      <c r="J30" s="16">
        <f t="shared" si="2"/>
        <v>0</v>
      </c>
      <c r="K30" s="65"/>
      <c r="L30" s="16" t="str">
        <f ca="1">IFERROR(טבלה1[[#This Row],[ימים שנותרו]]+ROW()/10000,"")</f>
        <v/>
      </c>
      <c r="M30" s="16" t="str">
        <f ca="1">IFERROR(IF(טבלה1[[#This Row],[סטטוס]]&lt;&gt;"הוגש", _xlfn.RANK.EQ(L30,טבלה1[עמודת עזר לדירוג],1),"-"),"-")</f>
        <v>-</v>
      </c>
    </row>
    <row r="31" spans="1:13" x14ac:dyDescent="0.3">
      <c r="A31" s="66"/>
      <c r="B31" s="66"/>
      <c r="C31" s="12"/>
      <c r="D31" s="13"/>
      <c r="E31" s="15" t="str">
        <f t="shared" ca="1" si="3"/>
        <v/>
      </c>
      <c r="F31" s="12"/>
      <c r="G31" s="12"/>
      <c r="H31" s="14"/>
      <c r="I31" s="12"/>
      <c r="J31" s="16">
        <f t="shared" si="2"/>
        <v>0</v>
      </c>
      <c r="K31" s="65"/>
      <c r="L31" s="16" t="str">
        <f ca="1">IFERROR(טבלה1[[#This Row],[ימים שנותרו]]+ROW()/10000,"")</f>
        <v/>
      </c>
      <c r="M31" s="16" t="str">
        <f ca="1">IFERROR(IF(טבלה1[[#This Row],[סטטוס]]&lt;&gt;"הוגש", _xlfn.RANK.EQ(L31,טבלה1[עמודת עזר לדירוג],1),"-"),"-")</f>
        <v>-</v>
      </c>
    </row>
    <row r="32" spans="1:13" x14ac:dyDescent="0.3">
      <c r="A32" s="66"/>
      <c r="B32" s="66"/>
      <c r="C32" s="12"/>
      <c r="D32" s="13"/>
      <c r="E32" s="15" t="str">
        <f t="shared" ca="1" si="3"/>
        <v/>
      </c>
      <c r="F32" s="12"/>
      <c r="G32" s="12"/>
      <c r="H32" s="14"/>
      <c r="I32" s="12"/>
      <c r="J32" s="16">
        <f t="shared" si="2"/>
        <v>0</v>
      </c>
      <c r="K32" s="65"/>
      <c r="L32" s="16" t="str">
        <f ca="1">IFERROR(טבלה1[[#This Row],[ימים שנותרו]]+ROW()/10000,"")</f>
        <v/>
      </c>
      <c r="M32" s="16" t="str">
        <f ca="1">IFERROR(IF(טבלה1[[#This Row],[סטטוס]]&lt;&gt;"הוגש", _xlfn.RANK.EQ(L32,טבלה1[עמודת עזר לדירוג],1),"-"),"-")</f>
        <v>-</v>
      </c>
    </row>
    <row r="33" spans="1:13" x14ac:dyDescent="0.3">
      <c r="A33" s="66"/>
      <c r="B33" s="66"/>
      <c r="C33" s="12"/>
      <c r="D33" s="13"/>
      <c r="E33" s="15" t="str">
        <f t="shared" ca="1" si="3"/>
        <v/>
      </c>
      <c r="F33" s="12"/>
      <c r="G33" s="12"/>
      <c r="H33" s="14"/>
      <c r="I33" s="12"/>
      <c r="J33" s="16">
        <f t="shared" si="2"/>
        <v>0</v>
      </c>
      <c r="K33" s="65"/>
      <c r="L33" s="16" t="str">
        <f ca="1">IFERROR(טבלה1[[#This Row],[ימים שנותרו]]+ROW()/10000,"")</f>
        <v/>
      </c>
      <c r="M33" s="16" t="str">
        <f ca="1">IFERROR(IF(טבלה1[[#This Row],[סטטוס]]&lt;&gt;"הוגש", _xlfn.RANK.EQ(L33,טבלה1[עמודת עזר לדירוג],1),"-"),"-")</f>
        <v>-</v>
      </c>
    </row>
    <row r="34" spans="1:13" x14ac:dyDescent="0.3">
      <c r="A34" s="66"/>
      <c r="B34" s="66"/>
      <c r="C34" s="12"/>
      <c r="D34" s="13"/>
      <c r="E34" s="15" t="str">
        <f t="shared" ca="1" si="3"/>
        <v/>
      </c>
      <c r="F34" s="12"/>
      <c r="G34" s="12"/>
      <c r="H34" s="14"/>
      <c r="I34" s="12"/>
      <c r="J34" s="16">
        <f t="shared" si="2"/>
        <v>0</v>
      </c>
      <c r="K34" s="65"/>
      <c r="L34" s="16" t="str">
        <f ca="1">IFERROR(טבלה1[[#This Row],[ימים שנותרו]]+ROW()/10000,"")</f>
        <v/>
      </c>
      <c r="M34" s="16" t="str">
        <f ca="1">IFERROR(IF(טבלה1[[#This Row],[סטטוס]]&lt;&gt;"הוגש", _xlfn.RANK.EQ(L34,טבלה1[עמודת עזר לדירוג],1),"-"),"-")</f>
        <v>-</v>
      </c>
    </row>
    <row r="35" spans="1:13" x14ac:dyDescent="0.3">
      <c r="A35" s="66"/>
      <c r="B35" s="66"/>
      <c r="C35" s="12"/>
      <c r="D35" s="13"/>
      <c r="E35" s="15" t="str">
        <f t="shared" ca="1" si="3"/>
        <v/>
      </c>
      <c r="F35" s="12"/>
      <c r="G35" s="12"/>
      <c r="H35" s="14"/>
      <c r="I35" s="12"/>
      <c r="J35" s="16">
        <f t="shared" si="2"/>
        <v>0</v>
      </c>
      <c r="K35" s="65"/>
      <c r="L35" s="16" t="str">
        <f ca="1">IFERROR(טבלה1[[#This Row],[ימים שנותרו]]+ROW()/10000,"")</f>
        <v/>
      </c>
      <c r="M35" s="16" t="str">
        <f ca="1">IFERROR(IF(טבלה1[[#This Row],[סטטוס]]&lt;&gt;"הוגש", _xlfn.RANK.EQ(L35,טבלה1[עמודת עזר לדירוג],1),"-"),"-")</f>
        <v>-</v>
      </c>
    </row>
    <row r="36" spans="1:13" x14ac:dyDescent="0.3">
      <c r="A36" s="66"/>
      <c r="B36" s="66"/>
      <c r="C36" s="12"/>
      <c r="D36" s="13"/>
      <c r="E36" s="15" t="str">
        <f t="shared" ca="1" si="3"/>
        <v/>
      </c>
      <c r="F36" s="12"/>
      <c r="G36" s="12"/>
      <c r="H36" s="14"/>
      <c r="I36" s="12"/>
      <c r="J36" s="16">
        <f t="shared" si="2"/>
        <v>0</v>
      </c>
      <c r="K36" s="65"/>
      <c r="L36" s="16" t="str">
        <f ca="1">IFERROR(טבלה1[[#This Row],[ימים שנותרו]]+ROW()/10000,"")</f>
        <v/>
      </c>
      <c r="M36" s="16" t="str">
        <f ca="1">IFERROR(IF(טבלה1[[#This Row],[סטטוס]]&lt;&gt;"הוגש", _xlfn.RANK.EQ(L36,טבלה1[עמודת עזר לדירוג],1),"-"),"-")</f>
        <v>-</v>
      </c>
    </row>
    <row r="37" spans="1:13" x14ac:dyDescent="0.3">
      <c r="A37" s="66"/>
      <c r="B37" s="66"/>
      <c r="C37" s="12"/>
      <c r="D37" s="13"/>
      <c r="E37" s="15" t="str">
        <f t="shared" ca="1" si="3"/>
        <v/>
      </c>
      <c r="F37" s="12"/>
      <c r="G37" s="12"/>
      <c r="H37" s="14"/>
      <c r="I37" s="12"/>
      <c r="J37" s="16">
        <f t="shared" ref="J37:J53" si="4">I37*H37</f>
        <v>0</v>
      </c>
      <c r="K37" s="65"/>
      <c r="L37" s="16" t="str">
        <f ca="1">IFERROR(טבלה1[[#This Row],[ימים שנותרו]]+ROW()/10000,"")</f>
        <v/>
      </c>
      <c r="M37" s="16" t="str">
        <f ca="1">IFERROR(IF(טבלה1[[#This Row],[סטטוס]]&lt;&gt;"הוגש", _xlfn.RANK.EQ(L37,טבלה1[עמודת עזר לדירוג],1),"-"),"-")</f>
        <v>-</v>
      </c>
    </row>
    <row r="38" spans="1:13" x14ac:dyDescent="0.3">
      <c r="A38" s="66"/>
      <c r="B38" s="66"/>
      <c r="C38" s="12"/>
      <c r="D38" s="13"/>
      <c r="E38" s="15" t="str">
        <f t="shared" ca="1" si="3"/>
        <v/>
      </c>
      <c r="F38" s="12"/>
      <c r="G38" s="12"/>
      <c r="H38" s="14"/>
      <c r="I38" s="12"/>
      <c r="J38" s="16">
        <f t="shared" si="4"/>
        <v>0</v>
      </c>
      <c r="K38" s="65"/>
      <c r="L38" s="16" t="str">
        <f ca="1">IFERROR(טבלה1[[#This Row],[ימים שנותרו]]+ROW()/10000,"")</f>
        <v/>
      </c>
      <c r="M38" s="16" t="str">
        <f ca="1">IFERROR(IF(טבלה1[[#This Row],[סטטוס]]&lt;&gt;"הוגש", _xlfn.RANK.EQ(L38,טבלה1[עמודת עזר לדירוג],1),"-"),"-")</f>
        <v>-</v>
      </c>
    </row>
    <row r="39" spans="1:13" x14ac:dyDescent="0.3">
      <c r="A39" s="66"/>
      <c r="B39" s="66"/>
      <c r="C39" s="12"/>
      <c r="D39" s="13"/>
      <c r="E39" s="15" t="str">
        <f t="shared" ca="1" si="3"/>
        <v/>
      </c>
      <c r="F39" s="12"/>
      <c r="G39" s="12"/>
      <c r="H39" s="14"/>
      <c r="I39" s="12"/>
      <c r="J39" s="16">
        <f t="shared" si="4"/>
        <v>0</v>
      </c>
      <c r="K39" s="65"/>
      <c r="L39" s="16" t="str">
        <f ca="1">IFERROR(טבלה1[[#This Row],[ימים שנותרו]]+ROW()/10000,"")</f>
        <v/>
      </c>
      <c r="M39" s="16" t="str">
        <f ca="1">IFERROR(IF(טבלה1[[#This Row],[סטטוס]]&lt;&gt;"הוגש", _xlfn.RANK.EQ(L39,טבלה1[עמודת עזר לדירוג],1),"-"),"-")</f>
        <v>-</v>
      </c>
    </row>
    <row r="40" spans="1:13" x14ac:dyDescent="0.3">
      <c r="A40" s="66"/>
      <c r="B40" s="66"/>
      <c r="C40" s="12"/>
      <c r="D40" s="13"/>
      <c r="E40" s="15" t="str">
        <f t="shared" ca="1" si="3"/>
        <v/>
      </c>
      <c r="F40" s="12"/>
      <c r="G40" s="12"/>
      <c r="H40" s="14"/>
      <c r="I40" s="12"/>
      <c r="J40" s="16">
        <f t="shared" si="4"/>
        <v>0</v>
      </c>
      <c r="K40" s="65"/>
      <c r="L40" s="16" t="str">
        <f ca="1">IFERROR(טבלה1[[#This Row],[ימים שנותרו]]+ROW()/10000,"")</f>
        <v/>
      </c>
      <c r="M40" s="16" t="str">
        <f ca="1">IFERROR(IF(טבלה1[[#This Row],[סטטוס]]&lt;&gt;"הוגש", _xlfn.RANK.EQ(L40,טבלה1[עמודת עזר לדירוג],1),"-"),"-")</f>
        <v>-</v>
      </c>
    </row>
    <row r="41" spans="1:13" x14ac:dyDescent="0.3">
      <c r="A41" s="66"/>
      <c r="B41" s="66"/>
      <c r="C41" s="12"/>
      <c r="D41" s="13"/>
      <c r="E41" s="15" t="str">
        <f t="shared" ref="E41:E52" ca="1" si="5">_xlfn.IFS(D41="","",F41="הוגש","✅",F41="התקבל ציון","✅",F41&lt;&gt;"הוגש",D41-TODAY())</f>
        <v/>
      </c>
      <c r="F41" s="12"/>
      <c r="G41" s="12"/>
      <c r="H41" s="14"/>
      <c r="I41" s="12"/>
      <c r="J41" s="16">
        <f t="shared" si="4"/>
        <v>0</v>
      </c>
      <c r="K41" s="65" t="str">
        <f t="shared" ref="K41:K52" ca="1" si="6">IF(E41&lt;0,"באיחור","")</f>
        <v/>
      </c>
      <c r="L41" s="16" t="str">
        <f ca="1">IFERROR(טבלה1[[#This Row],[ימים שנותרו]]+ROW()/10000,"")</f>
        <v/>
      </c>
      <c r="M41" s="16" t="str">
        <f ca="1">IFERROR(IF(טבלה1[[#This Row],[סטטוס]]&lt;&gt;"הוגש", _xlfn.RANK.EQ(L41,טבלה1[עמודת עזר לדירוג],1),"-"),"-")</f>
        <v>-</v>
      </c>
    </row>
    <row r="42" spans="1:13" x14ac:dyDescent="0.3">
      <c r="A42" s="66"/>
      <c r="B42" s="66"/>
      <c r="C42" s="12"/>
      <c r="D42" s="13"/>
      <c r="E42" s="15" t="str">
        <f t="shared" ca="1" si="5"/>
        <v/>
      </c>
      <c r="F42" s="12"/>
      <c r="G42" s="12"/>
      <c r="H42" s="14"/>
      <c r="I42" s="12"/>
      <c r="J42" s="16">
        <f t="shared" si="4"/>
        <v>0</v>
      </c>
      <c r="K42" s="17" t="str">
        <f t="shared" ca="1" si="6"/>
        <v/>
      </c>
      <c r="L42" s="16" t="str">
        <f ca="1">IFERROR(טבלה1[[#This Row],[ימים שנותרו]]+ROW()/10000,"")</f>
        <v/>
      </c>
      <c r="M42" s="16" t="str">
        <f ca="1">IFERROR(IF(טבלה1[[#This Row],[סטטוס]]&lt;&gt;"הוגש", _xlfn.RANK.EQ(L42,טבלה1[עמודת עזר לדירוג],1),"-"),"-")</f>
        <v>-</v>
      </c>
    </row>
    <row r="43" spans="1:13" x14ac:dyDescent="0.3">
      <c r="A43" s="66"/>
      <c r="B43" s="66"/>
      <c r="C43" s="12"/>
      <c r="D43" s="13"/>
      <c r="E43" s="15" t="str">
        <f t="shared" ca="1" si="5"/>
        <v/>
      </c>
      <c r="F43" s="12"/>
      <c r="G43" s="12"/>
      <c r="H43" s="14"/>
      <c r="I43" s="12"/>
      <c r="J43" s="16">
        <f t="shared" si="4"/>
        <v>0</v>
      </c>
      <c r="K43" s="17" t="str">
        <f t="shared" ca="1" si="6"/>
        <v/>
      </c>
      <c r="L43" s="16" t="str">
        <f ca="1">IFERROR(טבלה1[[#This Row],[ימים שנותרו]]+ROW()/10000,"")</f>
        <v/>
      </c>
      <c r="M43" s="16" t="str">
        <f ca="1">IFERROR(IF(טבלה1[[#This Row],[סטטוס]]&lt;&gt;"הוגש", _xlfn.RANK.EQ(L43,טבלה1[עמודת עזר לדירוג],1),"-"),"-")</f>
        <v>-</v>
      </c>
    </row>
    <row r="44" spans="1:13" x14ac:dyDescent="0.3">
      <c r="A44" s="66"/>
      <c r="B44" s="66"/>
      <c r="C44" s="12"/>
      <c r="D44" s="13"/>
      <c r="E44" s="15" t="str">
        <f t="shared" ca="1" si="5"/>
        <v/>
      </c>
      <c r="F44" s="12"/>
      <c r="G44" s="12"/>
      <c r="H44" s="14"/>
      <c r="I44" s="12"/>
      <c r="J44" s="16">
        <f t="shared" si="4"/>
        <v>0</v>
      </c>
      <c r="K44" s="17" t="str">
        <f t="shared" ca="1" si="6"/>
        <v/>
      </c>
      <c r="L44" s="16" t="str">
        <f ca="1">IFERROR(טבלה1[[#This Row],[ימים שנותרו]]+ROW()/10000,"")</f>
        <v/>
      </c>
      <c r="M44" s="16" t="str">
        <f ca="1">IFERROR(IF(טבלה1[[#This Row],[סטטוס]]&lt;&gt;"הוגש", _xlfn.RANK.EQ(L44,טבלה1[עמודת עזר לדירוג],1),"-"),"-")</f>
        <v>-</v>
      </c>
    </row>
    <row r="45" spans="1:13" x14ac:dyDescent="0.3">
      <c r="A45" s="66"/>
      <c r="B45" s="66"/>
      <c r="C45" s="12"/>
      <c r="D45" s="13"/>
      <c r="E45" s="15" t="str">
        <f t="shared" ca="1" si="5"/>
        <v/>
      </c>
      <c r="F45" s="12"/>
      <c r="G45" s="12"/>
      <c r="H45" s="14"/>
      <c r="I45" s="12"/>
      <c r="J45" s="16">
        <f t="shared" si="4"/>
        <v>0</v>
      </c>
      <c r="K45" s="17" t="str">
        <f t="shared" ca="1" si="6"/>
        <v/>
      </c>
      <c r="L45" s="16" t="str">
        <f ca="1">IFERROR(טבלה1[[#This Row],[ימים שנותרו]]+ROW()/10000,"")</f>
        <v/>
      </c>
      <c r="M45" s="16" t="str">
        <f ca="1">IFERROR(IF(טבלה1[[#This Row],[סטטוס]]&lt;&gt;"הוגש", _xlfn.RANK.EQ(L45,טבלה1[עמודת עזר לדירוג],1),"-"),"-")</f>
        <v>-</v>
      </c>
    </row>
    <row r="46" spans="1:13" x14ac:dyDescent="0.3">
      <c r="A46" s="66"/>
      <c r="B46" s="66"/>
      <c r="C46" s="12"/>
      <c r="D46" s="13"/>
      <c r="E46" s="15" t="str">
        <f t="shared" ca="1" si="5"/>
        <v/>
      </c>
      <c r="F46" s="12"/>
      <c r="G46" s="12"/>
      <c r="H46" s="14"/>
      <c r="I46" s="12"/>
      <c r="J46" s="16">
        <f t="shared" si="4"/>
        <v>0</v>
      </c>
      <c r="K46" s="17" t="str">
        <f t="shared" ca="1" si="6"/>
        <v/>
      </c>
      <c r="L46" s="16" t="str">
        <f ca="1">IFERROR(טבלה1[[#This Row],[ימים שנותרו]]+ROW()/10000,"")</f>
        <v/>
      </c>
      <c r="M46" s="16" t="str">
        <f ca="1">IFERROR(IF(טבלה1[[#This Row],[סטטוס]]&lt;&gt;"הוגש", _xlfn.RANK.EQ(L46,טבלה1[עמודת עזר לדירוג],1),"-"),"-")</f>
        <v>-</v>
      </c>
    </row>
    <row r="47" spans="1:13" x14ac:dyDescent="0.3">
      <c r="A47" s="66"/>
      <c r="B47" s="66"/>
      <c r="C47" s="12"/>
      <c r="D47" s="13"/>
      <c r="E47" s="15" t="str">
        <f t="shared" ca="1" si="5"/>
        <v/>
      </c>
      <c r="F47" s="12"/>
      <c r="G47" s="12"/>
      <c r="H47" s="14"/>
      <c r="I47" s="12"/>
      <c r="J47" s="16">
        <f t="shared" si="4"/>
        <v>0</v>
      </c>
      <c r="K47" s="17" t="str">
        <f t="shared" ca="1" si="6"/>
        <v/>
      </c>
      <c r="L47" s="16" t="str">
        <f ca="1">IFERROR(טבלה1[[#This Row],[ימים שנותרו]]+ROW()/10000,"")</f>
        <v/>
      </c>
      <c r="M47" s="16" t="str">
        <f ca="1">IFERROR(IF(טבלה1[[#This Row],[סטטוס]]&lt;&gt;"הוגש", _xlfn.RANK.EQ(L47,טבלה1[עמודת עזר לדירוג],1),"-"),"-")</f>
        <v>-</v>
      </c>
    </row>
    <row r="48" spans="1:13" x14ac:dyDescent="0.3">
      <c r="A48" s="66"/>
      <c r="B48" s="66"/>
      <c r="C48" s="12"/>
      <c r="D48" s="13"/>
      <c r="E48" s="15" t="str">
        <f t="shared" ca="1" si="5"/>
        <v/>
      </c>
      <c r="F48" s="12"/>
      <c r="G48" s="12"/>
      <c r="H48" s="14"/>
      <c r="I48" s="12"/>
      <c r="J48" s="16">
        <f t="shared" si="4"/>
        <v>0</v>
      </c>
      <c r="K48" s="17" t="str">
        <f t="shared" ca="1" si="6"/>
        <v/>
      </c>
      <c r="L48" s="16" t="str">
        <f ca="1">IFERROR(טבלה1[[#This Row],[ימים שנותרו]]+ROW()/10000,"")</f>
        <v/>
      </c>
      <c r="M48" s="16" t="str">
        <f ca="1">IFERROR(IF(טבלה1[[#This Row],[סטטוס]]&lt;&gt;"הוגש", _xlfn.RANK.EQ(L48,טבלה1[עמודת עזר לדירוג],1),"-"),"-")</f>
        <v>-</v>
      </c>
    </row>
    <row r="49" spans="1:13" x14ac:dyDescent="0.3">
      <c r="A49" s="66"/>
      <c r="B49" s="66"/>
      <c r="C49" s="12"/>
      <c r="D49" s="13"/>
      <c r="E49" s="15" t="str">
        <f t="shared" ca="1" si="5"/>
        <v/>
      </c>
      <c r="F49" s="12"/>
      <c r="G49" s="12"/>
      <c r="H49" s="14"/>
      <c r="I49" s="12"/>
      <c r="J49" s="16">
        <f t="shared" si="4"/>
        <v>0</v>
      </c>
      <c r="K49" s="17" t="str">
        <f t="shared" ca="1" si="6"/>
        <v/>
      </c>
      <c r="L49" s="16" t="str">
        <f ca="1">IFERROR(טבלה1[[#This Row],[ימים שנותרו]]+ROW()/10000,"")</f>
        <v/>
      </c>
      <c r="M49" s="16" t="str">
        <f ca="1">IFERROR(IF(טבלה1[[#This Row],[סטטוס]]&lt;&gt;"הוגש", _xlfn.RANK.EQ(L49,טבלה1[עמודת עזר לדירוג],1),"-"),"-")</f>
        <v>-</v>
      </c>
    </row>
    <row r="50" spans="1:13" x14ac:dyDescent="0.3">
      <c r="A50" s="66"/>
      <c r="B50" s="66"/>
      <c r="C50" s="12"/>
      <c r="D50" s="13"/>
      <c r="E50" s="15" t="str">
        <f t="shared" ca="1" si="5"/>
        <v/>
      </c>
      <c r="F50" s="12"/>
      <c r="G50" s="12"/>
      <c r="H50" s="14"/>
      <c r="I50" s="12"/>
      <c r="J50" s="16">
        <f t="shared" si="4"/>
        <v>0</v>
      </c>
      <c r="K50" s="17" t="str">
        <f t="shared" ca="1" si="6"/>
        <v/>
      </c>
      <c r="L50" s="16" t="str">
        <f ca="1">IFERROR(טבלה1[[#This Row],[ימים שנותרו]]+ROW()/10000,"")</f>
        <v/>
      </c>
      <c r="M50" s="16" t="str">
        <f ca="1">IFERROR(IF(טבלה1[[#This Row],[סטטוס]]&lt;&gt;"הוגש", _xlfn.RANK.EQ(L50,טבלה1[עמודת עזר לדירוג],1),"-"),"-")</f>
        <v>-</v>
      </c>
    </row>
    <row r="51" spans="1:13" x14ac:dyDescent="0.3">
      <c r="A51" s="66"/>
      <c r="B51" s="66"/>
      <c r="C51" s="12"/>
      <c r="D51" s="13"/>
      <c r="E51" s="15" t="str">
        <f t="shared" ca="1" si="5"/>
        <v/>
      </c>
      <c r="F51" s="12"/>
      <c r="G51" s="12"/>
      <c r="H51" s="14"/>
      <c r="I51" s="12"/>
      <c r="J51" s="16">
        <f t="shared" si="4"/>
        <v>0</v>
      </c>
      <c r="K51" s="17" t="str">
        <f t="shared" ca="1" si="6"/>
        <v/>
      </c>
      <c r="L51" s="16" t="str">
        <f ca="1">IFERROR(טבלה1[[#This Row],[ימים שנותרו]]+ROW()/10000,"")</f>
        <v/>
      </c>
      <c r="M51" s="16" t="str">
        <f ca="1">IFERROR(IF(טבלה1[[#This Row],[סטטוס]]&lt;&gt;"הוגש", _xlfn.RANK.EQ(L51,טבלה1[עמודת עזר לדירוג],1),"-"),"-")</f>
        <v>-</v>
      </c>
    </row>
    <row r="52" spans="1:13" x14ac:dyDescent="0.3">
      <c r="A52" s="66"/>
      <c r="B52" s="66"/>
      <c r="C52" s="12"/>
      <c r="D52" s="13"/>
      <c r="E52" s="15" t="str">
        <f t="shared" ca="1" si="5"/>
        <v/>
      </c>
      <c r="F52" s="12"/>
      <c r="G52" s="12"/>
      <c r="H52" s="14"/>
      <c r="I52" s="12"/>
      <c r="J52" s="16">
        <f t="shared" si="4"/>
        <v>0</v>
      </c>
      <c r="K52" s="17" t="str">
        <f t="shared" ca="1" si="6"/>
        <v/>
      </c>
      <c r="L52" s="16" t="str">
        <f ca="1">IFERROR(טבלה1[[#This Row],[ימים שנותרו]]+ROW()/10000,"")</f>
        <v/>
      </c>
      <c r="M52" s="16" t="str">
        <f ca="1">IFERROR(IF(טבלה1[[#This Row],[סטטוס]]&lt;&gt;"הוגש", _xlfn.RANK.EQ(L52,טבלה1[עמודת עזר לדירוג],1),"-"),"-")</f>
        <v>-</v>
      </c>
    </row>
    <row r="53" spans="1:13" x14ac:dyDescent="0.3">
      <c r="A53" s="66"/>
      <c r="B53" s="66"/>
      <c r="C53" s="12"/>
      <c r="D53" s="13"/>
      <c r="E53" s="15" t="str">
        <f ca="1">IF(D53="", "", IF(F53="הוגש", "✅", D53-TODAY()))</f>
        <v/>
      </c>
      <c r="F53" s="12"/>
      <c r="G53" s="12"/>
      <c r="H53" s="14"/>
      <c r="I53" s="12"/>
      <c r="J53" s="16">
        <f t="shared" si="4"/>
        <v>0</v>
      </c>
      <c r="K53" s="17"/>
      <c r="L53" s="16" t="str">
        <f ca="1">IFERROR(טבלה1[[#This Row],[ימים שנותרו]]+ROW()/10000,"")</f>
        <v/>
      </c>
      <c r="M53" s="16" t="str">
        <f ca="1">IFERROR(IF(טבלה1[[#This Row],[סטטוס]]&lt;&gt;"הוגש", _xlfn.RANK.EQ(L53,טבלה1[עמודת עזר לדירוג],1),"-"),"-")</f>
        <v>-</v>
      </c>
    </row>
    <row r="65" spans="2:2" x14ac:dyDescent="0.3">
      <c r="B65" s="10"/>
    </row>
  </sheetData>
  <sheetProtection algorithmName="SHA-512" hashValue="DVkMj+ROajM9mWgy5wvKe5tpCmuxV9hxWmf30njpbNl7AMUtWm5buK6cRwzs/6AulAxUWmR+sZ0p720MWDaOAA==" saltValue="atdvfAek0EZjYQ9cYJCK9Q==" spinCount="100000" sheet="1" formatCells="0" formatColumns="0" formatRows="0" sort="0" autoFilter="0"/>
  <mergeCells count="1">
    <mergeCell ref="O1:P1"/>
  </mergeCells>
  <phoneticPr fontId="3" type="noConversion"/>
  <dataValidations count="4">
    <dataValidation type="list" allowBlank="1" showInputMessage="1" showErrorMessage="1" sqref="C2:C1048576" xr:uid="{5C0A0039-8FDA-400C-9C4D-EF851BA28BBF}">
      <formula1>סוג_המטלה</formula1>
    </dataValidation>
    <dataValidation type="list" allowBlank="1" showInputMessage="1" showErrorMessage="1" sqref="F2:F1048576" xr:uid="{99C63064-FC39-4101-82D4-D91889398561}">
      <formula1>סטטוס</formula1>
    </dataValidation>
    <dataValidation type="list" allowBlank="1" showInputMessage="1" showErrorMessage="1" sqref="G2:G1048576" xr:uid="{DD660BBF-2850-43CF-A2E6-FCA3A0953475}">
      <formula1>עדיפות</formula1>
    </dataValidation>
    <dataValidation allowBlank="1" showInputMessage="1" showErrorMessage="1" promptTitle="הזנת תאריך:" prompt="יש להזין תאריך עם &quot;/&quot; בצורה הבאה: dd/mm/yyyy._x000a_למשל: 1/10/2025._x000a_" sqref="D2:D53" xr:uid="{A542E374-123E-4EE4-AD8B-8D1B907B2453}"/>
  </dataValidations>
  <pageMargins left="0.7" right="0.7" top="0.75" bottom="0.75" header="0.3" footer="0.3"/>
  <ignoredErrors>
    <ignoredError sqref="E41:E42 E43:E45 E46:E52" calculatedColumn="1"/>
    <ignoredError sqref="K41:K43 K44:K52" unlockedFormula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63766F-83BB-45F8-8E45-459E86D1B478}">
          <x14:formula1>
            <xm:f>הגדרות_משתמש!$B$3:$B$11</xm:f>
          </x14:formula1>
          <xm:sqref>A2:A53</xm:sqref>
        </x14:dataValidation>
        <x14:dataValidation type="list" allowBlank="1" showInputMessage="1" showErrorMessage="1" promptTitle="אנא בחר קורס מתוך הרשימה" prompt="." xr:uid="{CFC7C9F1-5D3D-4619-8927-29FE6EC0E76B}">
          <x14:formula1>
            <xm:f>הגדרות_משתמש!$B$3:$B$11</xm:f>
          </x14:formula1>
          <xm:sqref>P2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39E1-A440-48BD-964B-C793E981733C}">
  <sheetPr>
    <tabColor theme="8" tint="0.79998168889431442"/>
  </sheetPr>
  <dimension ref="A1:I11"/>
  <sheetViews>
    <sheetView rightToLeft="1" tabSelected="1" workbookViewId="0">
      <selection activeCell="B2" sqref="B2"/>
    </sheetView>
  </sheetViews>
  <sheetFormatPr defaultRowHeight="14" x14ac:dyDescent="0.3"/>
  <cols>
    <col min="2" max="3" width="15.33203125" customWidth="1"/>
    <col min="4" max="4" width="31.6640625" customWidth="1"/>
    <col min="7" max="8" width="15.33203125" customWidth="1"/>
    <col min="9" max="9" width="31.6640625" customWidth="1"/>
  </cols>
  <sheetData>
    <row r="1" spans="1:9" x14ac:dyDescent="0.3">
      <c r="A1" s="22"/>
      <c r="B1" s="21" t="s">
        <v>32</v>
      </c>
      <c r="C1" s="21" t="s">
        <v>36</v>
      </c>
      <c r="D1" s="21" t="s">
        <v>33</v>
      </c>
      <c r="F1" s="22"/>
      <c r="G1" s="21" t="s">
        <v>32</v>
      </c>
      <c r="H1" s="21" t="s">
        <v>36</v>
      </c>
      <c r="I1" s="21" t="s">
        <v>33</v>
      </c>
    </row>
    <row r="2" spans="1:9" x14ac:dyDescent="0.3">
      <c r="A2" s="23">
        <v>1</v>
      </c>
      <c r="B2" s="49"/>
      <c r="C2" s="49"/>
      <c r="D2" s="49"/>
      <c r="F2" s="23">
        <v>11</v>
      </c>
      <c r="G2" s="49"/>
      <c r="H2" s="49"/>
      <c r="I2" s="49"/>
    </row>
    <row r="3" spans="1:9" x14ac:dyDescent="0.3">
      <c r="A3" s="23">
        <v>2</v>
      </c>
      <c r="B3" s="49"/>
      <c r="C3" s="49"/>
      <c r="D3" s="49"/>
      <c r="F3" s="23">
        <v>12</v>
      </c>
      <c r="G3" s="49"/>
      <c r="H3" s="49"/>
      <c r="I3" s="49"/>
    </row>
    <row r="4" spans="1:9" x14ac:dyDescent="0.3">
      <c r="A4" s="23">
        <v>3</v>
      </c>
      <c r="B4" s="49"/>
      <c r="C4" s="49"/>
      <c r="D4" s="49"/>
      <c r="F4" s="23">
        <v>13</v>
      </c>
      <c r="G4" s="49"/>
      <c r="H4" s="49"/>
      <c r="I4" s="49"/>
    </row>
    <row r="5" spans="1:9" x14ac:dyDescent="0.3">
      <c r="A5" s="23">
        <v>4</v>
      </c>
      <c r="B5" s="49"/>
      <c r="C5" s="49"/>
      <c r="D5" s="49"/>
      <c r="F5" s="23">
        <v>14</v>
      </c>
      <c r="G5" s="49"/>
      <c r="H5" s="49"/>
      <c r="I5" s="49"/>
    </row>
    <row r="6" spans="1:9" x14ac:dyDescent="0.3">
      <c r="A6" s="23">
        <v>5</v>
      </c>
      <c r="B6" s="49"/>
      <c r="C6" s="49"/>
      <c r="D6" s="49"/>
      <c r="F6" s="23">
        <v>15</v>
      </c>
      <c r="G6" s="49"/>
      <c r="H6" s="49"/>
      <c r="I6" s="49"/>
    </row>
    <row r="7" spans="1:9" x14ac:dyDescent="0.3">
      <c r="A7" s="23">
        <v>6</v>
      </c>
      <c r="B7" s="49"/>
      <c r="C7" s="49"/>
      <c r="D7" s="49"/>
      <c r="F7" s="23">
        <v>16</v>
      </c>
      <c r="G7" s="49"/>
      <c r="H7" s="49"/>
      <c r="I7" s="49"/>
    </row>
    <row r="8" spans="1:9" x14ac:dyDescent="0.3">
      <c r="A8" s="23">
        <v>7</v>
      </c>
      <c r="B8" s="49"/>
      <c r="C8" s="49"/>
      <c r="D8" s="49"/>
      <c r="F8" s="23">
        <v>17</v>
      </c>
      <c r="G8" s="49"/>
      <c r="H8" s="49"/>
      <c r="I8" s="49"/>
    </row>
    <row r="9" spans="1:9" x14ac:dyDescent="0.3">
      <c r="A9" s="23">
        <v>8</v>
      </c>
      <c r="B9" s="49"/>
      <c r="C9" s="49"/>
      <c r="D9" s="49"/>
      <c r="F9" s="23">
        <v>18</v>
      </c>
      <c r="G9" s="49"/>
      <c r="H9" s="49"/>
      <c r="I9" s="49"/>
    </row>
    <row r="10" spans="1:9" x14ac:dyDescent="0.3">
      <c r="A10" s="23">
        <v>9</v>
      </c>
      <c r="B10" s="49"/>
      <c r="C10" s="49"/>
      <c r="D10" s="49"/>
      <c r="F10" s="23">
        <v>19</v>
      </c>
      <c r="G10" s="49"/>
      <c r="H10" s="49"/>
      <c r="I10" s="49"/>
    </row>
    <row r="11" spans="1:9" x14ac:dyDescent="0.3">
      <c r="A11" s="23">
        <v>10</v>
      </c>
      <c r="B11" s="49"/>
      <c r="C11" s="49"/>
      <c r="D11" s="49"/>
      <c r="F11" s="23">
        <v>20</v>
      </c>
      <c r="G11" s="49"/>
      <c r="H11" s="49"/>
      <c r="I11" s="49"/>
    </row>
  </sheetData>
  <sheetProtection algorithmName="SHA-512" hashValue="xh+uoVAqGxCgNJQQg0H/4AZxqX3TI7gUhBz9J+fr/1I1BWwYqXdGxRiRvoxNNy6Jl5GejYyUWPkenIIlZqg6Qg==" saltValue="wDNt1IXVnU6DsZYooU42Zg==" spinCount="100000" sheet="1" objects="1" scenarios="1"/>
  <dataValidations count="1">
    <dataValidation allowBlank="1" showInputMessage="1" showErrorMessage="1" promptTitle="אימייל" prompt="אנא הכנס כתובת דואר אלקטרוני." sqref="D2:D11 I2:I11" xr:uid="{7BC826D1-41A0-4839-8D6D-A01A8E194849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4C8F-E4F2-4739-932B-BC69675AC4F2}">
  <sheetPr>
    <tabColor theme="4" tint="0.79998168889431442"/>
  </sheetPr>
  <dimension ref="A1:D7"/>
  <sheetViews>
    <sheetView rightToLeft="1" workbookViewId="0">
      <selection activeCell="D5" sqref="D5"/>
    </sheetView>
  </sheetViews>
  <sheetFormatPr defaultRowHeight="14" x14ac:dyDescent="0.3"/>
  <cols>
    <col min="1" max="1" width="9.25" bestFit="1" customWidth="1"/>
    <col min="4" max="4" width="10.58203125" customWidth="1"/>
  </cols>
  <sheetData>
    <row r="1" spans="1:4" x14ac:dyDescent="0.3">
      <c r="A1" s="4" t="s">
        <v>9</v>
      </c>
      <c r="B1" s="3" t="s">
        <v>4</v>
      </c>
      <c r="C1" s="2" t="s">
        <v>5</v>
      </c>
      <c r="D1" s="2" t="s">
        <v>49</v>
      </c>
    </row>
    <row r="2" spans="1:4" x14ac:dyDescent="0.3">
      <c r="A2" s="5" t="s">
        <v>10</v>
      </c>
      <c r="B2" s="6" t="s">
        <v>14</v>
      </c>
      <c r="C2" s="5" t="s">
        <v>17</v>
      </c>
      <c r="D2" s="48">
        <v>2025</v>
      </c>
    </row>
    <row r="3" spans="1:4" x14ac:dyDescent="0.3">
      <c r="A3" s="5" t="s">
        <v>12</v>
      </c>
      <c r="B3" s="6" t="s">
        <v>15</v>
      </c>
      <c r="C3" s="5" t="s">
        <v>18</v>
      </c>
      <c r="D3" s="48">
        <v>2026</v>
      </c>
    </row>
    <row r="4" spans="1:4" x14ac:dyDescent="0.3">
      <c r="A4" s="5" t="s">
        <v>11</v>
      </c>
      <c r="B4" s="6" t="s">
        <v>16</v>
      </c>
      <c r="C4" s="5" t="s">
        <v>19</v>
      </c>
      <c r="D4" s="48">
        <v>2027</v>
      </c>
    </row>
    <row r="5" spans="1:4" x14ac:dyDescent="0.3">
      <c r="A5" s="5" t="s">
        <v>13</v>
      </c>
      <c r="B5" s="8" t="s">
        <v>22</v>
      </c>
      <c r="C5" s="5" t="s">
        <v>20</v>
      </c>
      <c r="D5" s="48">
        <v>2028</v>
      </c>
    </row>
    <row r="6" spans="1:4" x14ac:dyDescent="0.3">
      <c r="A6" s="7" t="s">
        <v>21</v>
      </c>
      <c r="D6" s="48">
        <v>2029</v>
      </c>
    </row>
    <row r="7" spans="1:4" x14ac:dyDescent="0.3">
      <c r="D7" s="48">
        <v>2030</v>
      </c>
    </row>
  </sheetData>
  <sheetProtection algorithmName="SHA-512" hashValue="2O9KzvtyU4U1SDWL9AijQQo+B/4vhPXBVKOr4PIA76m2xXRR/6SuZx3pX9q2OlcWQe/m7D96XypH3MqIY/f2Ug==" saltValue="OgoaSxTQH4uT18tEOzmiB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5</vt:i4>
      </vt:variant>
    </vt:vector>
  </HeadingPairs>
  <TitlesOfParts>
    <vt:vector size="10" baseType="lpstr">
      <vt:lpstr>הגדרות_משתמש</vt:lpstr>
      <vt:lpstr>דשבורד</vt:lpstr>
      <vt:lpstr>מעקב_מטלות</vt:lpstr>
      <vt:lpstr>מיילים_טלפונים _חשובים</vt:lpstr>
      <vt:lpstr>lists</vt:lpstr>
      <vt:lpstr>סוג_המטלה</vt:lpstr>
      <vt:lpstr>סטטוס</vt:lpstr>
      <vt:lpstr>עדיפות</vt:lpstr>
      <vt:lpstr>שם_הקורס</vt:lpstr>
      <vt:lpstr>שנת_לימודים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אורעד</dc:creator>
  <cp:lastModifiedBy>אורעד מורד</cp:lastModifiedBy>
  <dcterms:created xsi:type="dcterms:W3CDTF">2015-06-05T18:19:34Z</dcterms:created>
  <dcterms:modified xsi:type="dcterms:W3CDTF">2026-02-17T17:14:56Z</dcterms:modified>
</cp:coreProperties>
</file>